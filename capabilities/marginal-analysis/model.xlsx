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Optimization" sheetId="2" state="visible" r:id="rId4"/>
    <sheet name="Cost Structure" sheetId="3" state="visible" r:id="rId5"/>
    <sheet name="Marginal Cost Schedules" sheetId="4" state="visible" r:id="rId6"/>
    <sheet name="Checks" sheetId="5" state="visible" r:id="rId7"/>
  </sheets>
  <definedNames>
    <definedName function="false" hidden="false" name="BLENDED_RATE" vbProcedure="false">'Cost Structure'!$B$10</definedName>
    <definedName function="false" hidden="false" name="CAR_BEDS" vbProcedure="false">Optimization!$B$5</definedName>
    <definedName function="false" hidden="false" name="CAR_CAP" vbProcedure="false">Inputs!$B$10</definedName>
    <definedName function="false" hidden="false" name="CAR_CROSSING" vbProcedure="false">'Marginal Cost Schedules'!$B$55</definedName>
    <definedName function="false" hidden="false" name="CAR_DIM" vbProcedure="false">Inputs!$B$13</definedName>
    <definedName function="false" hidden="false" name="CAR_FERT" vbProcedure="false">Inputs!$B$12</definedName>
    <definedName function="false" hidden="false" name="CAR_HRS" vbProcedure="false">Inputs!$B$11</definedName>
    <definedName function="false" hidden="false" name="CAR_PRICE" vbProcedure="false">Inputs!$B$9</definedName>
    <definedName function="false" hidden="false" name="FARMER_HRS_USED" vbProcedure="false">'Cost Structure'!$B$7</definedName>
    <definedName function="false" hidden="false" name="FERT_COST_CAR" vbProcedure="false">'Cost Structure'!$C$5</definedName>
    <definedName function="false" hidden="false" name="FERT_COST_MES" vbProcedure="false">'Cost Structure'!$D$5</definedName>
    <definedName function="false" hidden="false" name="FERT_COST_TOM" vbProcedure="false">'Cost Structure'!$B$5</definedName>
    <definedName function="false" hidden="false" name="FIXED_COST" vbProcedure="false">Inputs!$B$20</definedName>
    <definedName function="false" hidden="false" name="LABOR_COST_CAR" vbProcedure="false">'Cost Structure'!$C$12</definedName>
    <definedName function="false" hidden="false" name="LABOR_COST_MES" vbProcedure="false">'Cost Structure'!$D$12</definedName>
    <definedName function="false" hidden="false" name="LABOR_COST_TOM" vbProcedure="false">'Cost Structure'!$B$12</definedName>
    <definedName function="false" hidden="false" name="LABOR_HRS_CAR" vbProcedure="false">'Cost Structure'!$C$4</definedName>
    <definedName function="false" hidden="false" name="LABOR_HRS_MES" vbProcedure="false">'Cost Structure'!$D$4</definedName>
    <definedName function="false" hidden="false" name="LABOR_HRS_TOM" vbProcedure="false">'Cost Structure'!$B$4</definedName>
    <definedName function="false" hidden="false" name="MAX_WORKERS" vbProcedure="false">Inputs!$B$24</definedName>
    <definedName function="false" hidden="false" name="MC_CAR" vbProcedure="false">'Marginal Cost Schedules'!$I$34:$I$53</definedName>
    <definedName function="false" hidden="false" name="MC_MES" vbProcedure="false">'Marginal Cost Schedules'!$I$61:$I$90</definedName>
    <definedName function="false" hidden="false" name="MC_TOM" vbProcedure="false">'Marginal Cost Schedules'!$I$7:$I$26</definedName>
    <definedName function="false" hidden="false" name="MES_BEDS" vbProcedure="false">Optimization!$B$6</definedName>
    <definedName function="false" hidden="false" name="MES_CAP" vbProcedure="false">Inputs!$B$15</definedName>
    <definedName function="false" hidden="false" name="MES_CROSSING" vbProcedure="false">'Marginal Cost Schedules'!$B$92</definedName>
    <definedName function="false" hidden="false" name="MES_DIM" vbProcedure="false">Inputs!$B$18</definedName>
    <definedName function="false" hidden="false" name="MES_FERT" vbProcedure="false">Inputs!$B$17</definedName>
    <definedName function="false" hidden="false" name="MES_HRS" vbProcedure="false">Inputs!$B$16</definedName>
    <definedName function="false" hidden="false" name="MES_PRICE" vbProcedure="false">Inputs!$B$14</definedName>
    <definedName function="false" hidden="false" name="OWN_HRS" vbProcedure="false">Inputs!$B$22</definedName>
    <definedName function="false" hidden="false" name="OWN_RATE" vbProcedure="false">Inputs!$B$23</definedName>
    <definedName function="false" hidden="false" name="PROFIT" vbProcedure="false">Optimization!$B$22</definedName>
    <definedName function="false" hidden="false" name="REVENUE_CAR" vbProcedure="false">Optimization!$B$10</definedName>
    <definedName function="false" hidden="false" name="REVENUE_MES" vbProcedure="false">Optimization!$B$11</definedName>
    <definedName function="false" hidden="false" name="REVENUE_TOM" vbProcedure="false">Optimization!$B$9</definedName>
    <definedName function="false" hidden="false" name="TEMP_HRS_USED" vbProcedure="false">'Cost Structure'!$B$8</definedName>
    <definedName function="false" hidden="false" name="TOM_BEDS" vbProcedure="false">Optimization!$B$4</definedName>
    <definedName function="false" hidden="false" name="TOM_CAP" vbProcedure="false">Inputs!$B$5</definedName>
    <definedName function="false" hidden="false" name="TOM_CROSSING" vbProcedure="false">'Marginal Cost Schedules'!$B$28</definedName>
    <definedName function="false" hidden="false" name="TOM_DIM" vbProcedure="false">Inputs!$B$8</definedName>
    <definedName function="false" hidden="false" name="TOM_FERT" vbProcedure="false">Inputs!$B$7</definedName>
    <definedName function="false" hidden="false" name="TOM_HRS" vbProcedure="false">Inputs!$B$6</definedName>
    <definedName function="false" hidden="false" name="TOM_PRICE" vbProcedure="false">Inputs!$B$4</definedName>
    <definedName function="false" hidden="false" name="TOTAL_BEDS" vbProcedure="false">Inputs!$B$21</definedName>
    <definedName function="false" hidden="false" name="TOTAL_COST" vbProcedure="false">Optimization!$B$19</definedName>
    <definedName function="false" hidden="false" name="TOTAL_FERT_COST" vbProcedure="false">'Cost Structure'!$E$5</definedName>
    <definedName function="false" hidden="false" name="TOTAL_HRS" vbProcedure="false">'Cost Structure'!$E$4</definedName>
    <definedName function="false" hidden="false" name="TOTAL_LABOR_DOLLARS" vbProcedure="false">'Cost Structure'!$B$9</definedName>
    <definedName function="false" hidden="false" name="TOTAL_REVENUE" vbProcedure="false">Optimization!$B$12</definedName>
    <definedName function="false" hidden="false" name="TOTAL_VARIABLE_COST" vbProcedure="false">Optimization!$B$17</definedName>
    <definedName function="false" hidden="false" name="WEEKS" vbProcedure="false">Inputs!$B$19</definedName>
    <definedName function="false" hidden="false" name="WORKER_HRS" vbProcedure="false">Inputs!$B$25</definedName>
    <definedName function="false" hidden="false" name="WORKER_RATE" vbProcedure="false">Inputs!$B$26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<sst xmlns="http://schemas.openxmlformats.org/spreadsheetml/2006/main" count="208" uniqueCount="145">
  <si>
    <t xml:space="preserve">Inputs</t>
  </si>
  <si>
    <t xml:space="preserve">Name</t>
  </si>
  <si>
    <t xml:space="preserve">Value</t>
  </si>
  <si>
    <t xml:space="preserve">Unit</t>
  </si>
  <si>
    <t xml:space="preserve">Source</t>
  </si>
  <si>
    <t xml:space="preserve">TOM_PRICE</t>
  </si>
  <si>
    <t xml:space="preserve">USD per bed</t>
  </si>
  <si>
    <t xml:space="preserve">Case scenario, crop table</t>
  </si>
  <si>
    <t xml:space="preserve">TOM_CAP</t>
  </si>
  <si>
    <t xml:space="preserve">beds</t>
  </si>
  <si>
    <t xml:space="preserve">TOM_HRS</t>
  </si>
  <si>
    <t xml:space="preserve">hours per week per bed</t>
  </si>
  <si>
    <t xml:space="preserve">TOM_FERT</t>
  </si>
  <si>
    <t xml:space="preserve">TOM_DIM</t>
  </si>
  <si>
    <t xml:space="preserve">decimal</t>
  </si>
  <si>
    <t xml:space="preserve">CAR_PRICE</t>
  </si>
  <si>
    <t xml:space="preserve">CAR_CAP</t>
  </si>
  <si>
    <t xml:space="preserve">CAR_HRS</t>
  </si>
  <si>
    <t xml:space="preserve">CAR_FERT</t>
  </si>
  <si>
    <t xml:space="preserve">CAR_DIM</t>
  </si>
  <si>
    <t xml:space="preserve">MES_PRICE</t>
  </si>
  <si>
    <t xml:space="preserve">MES_CAP</t>
  </si>
  <si>
    <t xml:space="preserve">MES_HRS</t>
  </si>
  <si>
    <t xml:space="preserve">MES_FERT</t>
  </si>
  <si>
    <t xml:space="preserve">MES_DIM</t>
  </si>
  <si>
    <t xml:space="preserve">WEEKS</t>
  </si>
  <si>
    <t xml:space="preserve">weeks</t>
  </si>
  <si>
    <t xml:space="preserve">Case scenario, farm table</t>
  </si>
  <si>
    <t xml:space="preserve">FIXED_COST</t>
  </si>
  <si>
    <t xml:space="preserve">USD per season</t>
  </si>
  <si>
    <t xml:space="preserve">TOTAL_BEDS</t>
  </si>
  <si>
    <t xml:space="preserve">OWN_HRS</t>
  </si>
  <si>
    <t xml:space="preserve">hours</t>
  </si>
  <si>
    <t xml:space="preserve">OWN_RATE</t>
  </si>
  <si>
    <t xml:space="preserve">USD per hour</t>
  </si>
  <si>
    <t xml:space="preserve">MAX_WORKERS</t>
  </si>
  <si>
    <t xml:space="preserve">workers</t>
  </si>
  <si>
    <t xml:space="preserve">WORKER_HRS</t>
  </si>
  <si>
    <t xml:space="preserve">hours per worker</t>
  </si>
  <si>
    <t xml:space="preserve">WORKER_RATE</t>
  </si>
  <si>
    <t xml:space="preserve">Optimization</t>
  </si>
  <si>
    <t xml:space="preserve">Decision Variables (Solver Changing Cells)</t>
  </si>
  <si>
    <t xml:space="preserve">Tomato Beds (TOM_BEDS)</t>
  </si>
  <si>
    <t xml:space="preserve">Carrot Beds (CAR_BEDS)</t>
  </si>
  <si>
    <t xml:space="preserve">Mesclun Beds (MES_BEDS)</t>
  </si>
  <si>
    <t xml:space="preserve">Revenue</t>
  </si>
  <si>
    <t xml:space="preserve">Tomato Revenue (REVENUE_TOM)</t>
  </si>
  <si>
    <t xml:space="preserve">Carrot Revenue (REVENUE_CAR)</t>
  </si>
  <si>
    <t xml:space="preserve">Mesclun Revenue (REVENUE_MES)</t>
  </si>
  <si>
    <t xml:space="preserve">Total Revenue (TOTAL_REVENUE)</t>
  </si>
  <si>
    <t xml:space="preserve">Costs</t>
  </si>
  <si>
    <t xml:space="preserve">Total Labor Dollars</t>
  </si>
  <si>
    <t xml:space="preserve">Total Fertilizer Cost</t>
  </si>
  <si>
    <t xml:space="preserve">Total Variable Cost (TOTAL_VARIABLE_COST)</t>
  </si>
  <si>
    <t xml:space="preserve">Fixed Cost</t>
  </si>
  <si>
    <t xml:space="preserve">Total Cost (TOTAL_COST)</t>
  </si>
  <si>
    <t xml:space="preserve">Profit</t>
  </si>
  <si>
    <t xml:space="preserve">Season Profit (PROFIT) — Solver objective cell</t>
  </si>
  <si>
    <t xml:space="preserve">Solver Setup</t>
  </si>
  <si>
    <t xml:space="preserve">Objective: Maximize B22 (PROFIT)</t>
  </si>
  <si>
    <t xml:space="preserve">By Changing Variable Cells: B4:B6 (TOM_BEDS, CAR_BEDS, MES_BEDS)</t>
  </si>
  <si>
    <t xml:space="preserve">Constraints: see 'Checks' tab, section 7</t>
  </si>
  <si>
    <t xml:space="preserve">Solving Method: GRG Nonlinear</t>
  </si>
  <si>
    <t xml:space="preserve">Make Unconstrained Variables Non-Negative: checked</t>
  </si>
  <si>
    <t xml:space="preserve">TOM_BEDS, CAR_BEDS, MES_BEDS must be set to 'int' (integer) in Solver constraints</t>
  </si>
  <si>
    <t xml:space="preserve">Cost Structure</t>
  </si>
  <si>
    <t xml:space="preserve">Metric</t>
  </si>
  <si>
    <t xml:space="preserve">Tomato</t>
  </si>
  <si>
    <t xml:space="preserve">Carrot</t>
  </si>
  <si>
    <t xml:space="preserve">Mesclun</t>
  </si>
  <si>
    <t xml:space="preserve">Farm Total</t>
  </si>
  <si>
    <t xml:space="preserve">Labor Hours</t>
  </si>
  <si>
    <t xml:space="preserve">Fertilizer Cost</t>
  </si>
  <si>
    <t xml:space="preserve">Farmer Hours Used (FARMER_HRS_USED)</t>
  </si>
  <si>
    <t xml:space="preserve">Temporary Hours Used (TEMP_HRS_USED)</t>
  </si>
  <si>
    <t xml:space="preserve">Total Labor Dollars (TOTAL_LABOR_DOLLARS)</t>
  </si>
  <si>
    <t xml:space="preserve">Blended Labor Rate (BLENDED_RATE)</t>
  </si>
  <si>
    <t xml:space="preserve">Labor Cost per Crop (uses BLENDED_RATE)</t>
  </si>
  <si>
    <t xml:space="preserve">Marginal Cost Schedules</t>
  </si>
  <si>
    <t xml:space="preserve">Each schedule is standalone: computed assuming the other two crops have zero beds (see spec.md, Calculation Logic section 9).</t>
  </si>
  <si>
    <t xml:space="preserve">Tomatoes</t>
  </si>
  <si>
    <t xml:space="preserve">q</t>
  </si>
  <si>
    <t xml:space="preserve">LABOR_HRS(q)</t>
  </si>
  <si>
    <t xml:space="preserve">Standalone Farmer Hrs</t>
  </si>
  <si>
    <t xml:space="preserve">Standalone Temp Hrs</t>
  </si>
  <si>
    <t xml:space="preserve">Standalone Labor $</t>
  </si>
  <si>
    <t xml:space="preserve">Standalone Blended Rate</t>
  </si>
  <si>
    <t xml:space="preserve">Total Cost</t>
  </si>
  <si>
    <t xml:space="preserve">Marginal Cost MC(q)</t>
  </si>
  <si>
    <t xml:space="preserve">Revenue per Bed</t>
  </si>
  <si>
    <t xml:space="preserve">MC &gt;= Price?</t>
  </si>
  <si>
    <t xml:space="preserve">n/a — reference point only</t>
  </si>
  <si>
    <t xml:space="preserve">TOM_CROSSING (last q with MC below price; falls back to bed cap if never crosses)</t>
  </si>
  <si>
    <t xml:space="preserve">Carrots</t>
  </si>
  <si>
    <t xml:space="preserve">CAR_CROSSING (last q with MC below price; falls back to bed cap if never crosses)</t>
  </si>
  <si>
    <t xml:space="preserve">MES_CROSSING (last q with MC below price; falls back to bed cap if never crosses)</t>
  </si>
  <si>
    <t xml:space="preserve">Checks</t>
  </si>
  <si>
    <t xml:space="preserve">Run every check below before accepting the model's results. Yellow cells need you to fill in a value.</t>
  </si>
  <si>
    <t xml:space="preserve">1. Hand check at q = 1</t>
  </si>
  <si>
    <t xml:space="preserve">LABOR_HRS_TOM(1), computed by the workbook</t>
  </si>
  <si>
    <t xml:space="preserve">Expected value (hand calculation: 1 x 2.5 x 36 x 1.10)</t>
  </si>
  <si>
    <t xml:space="preserve">Pass?</t>
  </si>
  <si>
    <t xml:space="preserve">2. Farm Profit Lab cross-check</t>
  </si>
  <si>
    <t xml:space="preserve">My MC_TOM(10)</t>
  </si>
  <si>
    <t xml:space="preserve">Farm Profit Lab value for MC_TOM(10) — fill in</t>
  </si>
  <si>
    <t xml:space="preserve">Difference</t>
  </si>
  <si>
    <t xml:space="preserve">Pass? (within $1.00)</t>
  </si>
  <si>
    <t xml:space="preserve">3. Two Solver starting points — run Solver twice in Excel, then record results here</t>
  </si>
  <si>
    <t xml:space="preserve">Run 1 (start 0/0/0)</t>
  </si>
  <si>
    <t xml:space="preserve">Run 2 (start 20/0/0)</t>
  </si>
  <si>
    <t xml:space="preserve">TOM_BEDS result</t>
  </si>
  <si>
    <t xml:space="preserve">CAR_BEDS result</t>
  </si>
  <si>
    <t xml:space="preserve">MES_BEDS result</t>
  </si>
  <si>
    <t xml:space="preserve">PROFIT result</t>
  </si>
  <si>
    <t xml:space="preserve">Same crop mix in both runs?</t>
  </si>
  <si>
    <t xml:space="preserve">Profit matches within $0.01?</t>
  </si>
  <si>
    <t xml:space="preserve">4. Published check figures</t>
  </si>
  <si>
    <t xml:space="preserve">Actual</t>
  </si>
  <si>
    <t xml:space="preserve">Published</t>
  </si>
  <si>
    <t xml:space="preserve">TOM_BEDS</t>
  </si>
  <si>
    <t xml:space="preserve">CAR_BEDS</t>
  </si>
  <si>
    <t xml:space="preserve">MES_BEDS</t>
  </si>
  <si>
    <t xml:space="preserve">PROFIT</t>
  </si>
  <si>
    <t xml:space="preserve">TOM_CROSSING (standalone, ~10 published)</t>
  </si>
  <si>
    <t xml:space="preserve">~10</t>
  </si>
  <si>
    <t xml:space="preserve">CAR_CROSSING (standalone, ~10 published)</t>
  </si>
  <si>
    <t xml:space="preserve">MES_CROSSING (standalone, ~6 published)</t>
  </si>
  <si>
    <t xml:space="preserve">~6</t>
  </si>
  <si>
    <t xml:space="preserve">5. No error cells</t>
  </si>
  <si>
    <t xml:space="preserve">Manually scan every tab for reference, divide-by-zero, or name errors before accepting results.</t>
  </si>
  <si>
    <t xml:space="preserve">6. Formulas instead of typed-in answers</t>
  </si>
  <si>
    <t xml:space="preserve">Spot-check that calculated cells (LABOR_HRS_*, MC_*, PROFIT, costs, revenue) contain formulas referencing named ranges, not typed numbers.</t>
  </si>
  <si>
    <t xml:space="preserve">7. Constraint checks</t>
  </si>
  <si>
    <t xml:space="preserve">Constraint</t>
  </si>
  <si>
    <t xml:space="preserve">TOM_BEDS &lt;= TOM_CAP</t>
  </si>
  <si>
    <t xml:space="preserve">CAR_BEDS &lt;= CAR_CAP</t>
  </si>
  <si>
    <t xml:space="preserve">MES_BEDS &lt;= MES_CAP</t>
  </si>
  <si>
    <t xml:space="preserve">TOM_BEDS + CAR_BEDS + MES_BEDS &lt;= TOTAL_BEDS</t>
  </si>
  <si>
    <t xml:space="preserve">TEMP_HRS_USED &lt;= MAX_WORKERS * WORKER_HRS</t>
  </si>
  <si>
    <t xml:space="preserve">TOM_BEDS &gt;= 0</t>
  </si>
  <si>
    <t xml:space="preserve">CAR_BEDS &gt;= 0</t>
  </si>
  <si>
    <t xml:space="preserve">MES_BEDS &gt;= 0</t>
  </si>
  <si>
    <t xml:space="preserve">TOM_BEDS is an integer</t>
  </si>
  <si>
    <t xml:space="preserve">CAR_BEDS is an integer</t>
  </si>
  <si>
    <t xml:space="preserve">MES_BEDS is an integer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</si>
</sst>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"/>
    <numFmt numFmtId="166" formatCode="0"/>
    <numFmt numFmtId="167" formatCode="#,##0.00"/>
    <numFmt numFmtId="168" formatCode="0.00%"/>
    <numFmt numFmtId="169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FEFEF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28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</row>
    <row r="4" customFormat="false" ht="15" hidden="false" customHeight="false" outlineLevel="0" collapsed="false">
      <c r="A4" s="3" t="s">
        <v>5</v>
      </c>
      <c r="B4" s="4" t="n">
        <v>8800</v>
      </c>
      <c r="C4" s="5" t="s">
        <v>6</v>
      </c>
      <c r="D4" s="5" t="s">
        <v>7</v>
      </c>
    </row>
    <row r="5" customFormat="false" ht="15" hidden="false" customHeight="false" outlineLevel="0" collapsed="false">
      <c r="A5" s="3" t="s">
        <v>8</v>
      </c>
      <c r="B5" s="6" t="n">
        <v>20</v>
      </c>
      <c r="C5" s="5" t="s">
        <v>9</v>
      </c>
      <c r="D5" s="5" t="s">
        <v>7</v>
      </c>
    </row>
    <row r="6" customFormat="false" ht="15" hidden="false" customHeight="false" outlineLevel="0" collapsed="false">
      <c r="A6" s="3" t="s">
        <v>10</v>
      </c>
      <c r="B6" s="7" t="n">
        <v>2.5</v>
      </c>
      <c r="C6" s="5" t="s">
        <v>11</v>
      </c>
      <c r="D6" s="5" t="s">
        <v>7</v>
      </c>
    </row>
    <row r="7" customFormat="false" ht="15" hidden="false" customHeight="false" outlineLevel="0" collapsed="false">
      <c r="A7" s="3" t="s">
        <v>12</v>
      </c>
      <c r="B7" s="4" t="n">
        <v>880</v>
      </c>
      <c r="C7" s="5" t="s">
        <v>6</v>
      </c>
      <c r="D7" s="5" t="s">
        <v>7</v>
      </c>
    </row>
    <row r="8" customFormat="false" ht="15" hidden="false" customHeight="false" outlineLevel="0" collapsed="false">
      <c r="A8" s="3" t="s">
        <v>13</v>
      </c>
      <c r="B8" s="8" t="n">
        <v>0.1</v>
      </c>
      <c r="C8" s="5" t="s">
        <v>14</v>
      </c>
      <c r="D8" s="5" t="s">
        <v>7</v>
      </c>
    </row>
    <row r="9" customFormat="false" ht="15" hidden="false" customHeight="false" outlineLevel="0" collapsed="false">
      <c r="A9" s="3" t="s">
        <v>15</v>
      </c>
      <c r="B9" s="4" t="n">
        <v>2094</v>
      </c>
      <c r="C9" s="5" t="s">
        <v>6</v>
      </c>
      <c r="D9" s="5" t="s">
        <v>7</v>
      </c>
    </row>
    <row r="10" customFormat="false" ht="15" hidden="false" customHeight="false" outlineLevel="0" collapsed="false">
      <c r="A10" s="3" t="s">
        <v>16</v>
      </c>
      <c r="B10" s="6" t="n">
        <v>20</v>
      </c>
      <c r="C10" s="5" t="s">
        <v>9</v>
      </c>
      <c r="D10" s="5" t="s">
        <v>7</v>
      </c>
    </row>
    <row r="11" customFormat="false" ht="15" hidden="false" customHeight="false" outlineLevel="0" collapsed="false">
      <c r="A11" s="3" t="s">
        <v>17</v>
      </c>
      <c r="B11" s="7" t="n">
        <v>0.833</v>
      </c>
      <c r="C11" s="5" t="s">
        <v>11</v>
      </c>
      <c r="D11" s="5" t="s">
        <v>7</v>
      </c>
    </row>
    <row r="12" customFormat="false" ht="15" hidden="false" customHeight="false" outlineLevel="0" collapsed="false">
      <c r="A12" s="3" t="s">
        <v>18</v>
      </c>
      <c r="B12" s="4" t="n">
        <v>440</v>
      </c>
      <c r="C12" s="5" t="s">
        <v>6</v>
      </c>
      <c r="D12" s="5" t="s">
        <v>7</v>
      </c>
    </row>
    <row r="13" customFormat="false" ht="15" hidden="false" customHeight="false" outlineLevel="0" collapsed="false">
      <c r="A13" s="3" t="s">
        <v>19</v>
      </c>
      <c r="B13" s="8" t="n">
        <v>0.025</v>
      </c>
      <c r="C13" s="5" t="s">
        <v>14</v>
      </c>
      <c r="D13" s="5" t="s">
        <v>7</v>
      </c>
    </row>
    <row r="14" customFormat="false" ht="15" hidden="false" customHeight="false" outlineLevel="0" collapsed="false">
      <c r="A14" s="3" t="s">
        <v>20</v>
      </c>
      <c r="B14" s="4" t="n">
        <v>2700</v>
      </c>
      <c r="C14" s="5" t="s">
        <v>6</v>
      </c>
      <c r="D14" s="5" t="s">
        <v>7</v>
      </c>
    </row>
    <row r="15" customFormat="false" ht="15" hidden="false" customHeight="false" outlineLevel="0" collapsed="false">
      <c r="A15" s="3" t="s">
        <v>21</v>
      </c>
      <c r="B15" s="6" t="n">
        <v>30</v>
      </c>
      <c r="C15" s="5" t="s">
        <v>9</v>
      </c>
      <c r="D15" s="5" t="s">
        <v>7</v>
      </c>
    </row>
    <row r="16" customFormat="false" ht="15" hidden="false" customHeight="false" outlineLevel="0" collapsed="false">
      <c r="A16" s="3" t="s">
        <v>22</v>
      </c>
      <c r="B16" s="7" t="n">
        <v>1.25</v>
      </c>
      <c r="C16" s="5" t="s">
        <v>11</v>
      </c>
      <c r="D16" s="5" t="s">
        <v>7</v>
      </c>
    </row>
    <row r="17" customFormat="false" ht="15" hidden="false" customHeight="false" outlineLevel="0" collapsed="false">
      <c r="A17" s="3" t="s">
        <v>23</v>
      </c>
      <c r="B17" s="4" t="n">
        <v>880</v>
      </c>
      <c r="C17" s="5" t="s">
        <v>6</v>
      </c>
      <c r="D17" s="5" t="s">
        <v>7</v>
      </c>
    </row>
    <row r="18" customFormat="false" ht="15" hidden="false" customHeight="false" outlineLevel="0" collapsed="false">
      <c r="A18" s="3" t="s">
        <v>24</v>
      </c>
      <c r="B18" s="8" t="n">
        <v>0.0125</v>
      </c>
      <c r="C18" s="5" t="s">
        <v>14</v>
      </c>
      <c r="D18" s="5" t="s">
        <v>7</v>
      </c>
    </row>
    <row r="19" customFormat="false" ht="15" hidden="false" customHeight="false" outlineLevel="0" collapsed="false">
      <c r="A19" s="3" t="s">
        <v>25</v>
      </c>
      <c r="B19" s="6" t="n">
        <v>36</v>
      </c>
      <c r="C19" s="5" t="s">
        <v>26</v>
      </c>
      <c r="D19" s="5" t="s">
        <v>27</v>
      </c>
    </row>
    <row r="20" customFormat="false" ht="15" hidden="false" customHeight="false" outlineLevel="0" collapsed="false">
      <c r="A20" s="3" t="s">
        <v>28</v>
      </c>
      <c r="B20" s="4" t="n">
        <v>20000</v>
      </c>
      <c r="C20" s="5" t="s">
        <v>29</v>
      </c>
      <c r="D20" s="5" t="s">
        <v>27</v>
      </c>
    </row>
    <row r="21" customFormat="false" ht="15" hidden="false" customHeight="false" outlineLevel="0" collapsed="false">
      <c r="A21" s="3" t="s">
        <v>30</v>
      </c>
      <c r="B21" s="6" t="n">
        <v>64</v>
      </c>
      <c r="C21" s="5" t="s">
        <v>9</v>
      </c>
      <c r="D21" s="5" t="s">
        <v>27</v>
      </c>
    </row>
    <row r="22" customFormat="false" ht="15" hidden="false" customHeight="false" outlineLevel="0" collapsed="false">
      <c r="A22" s="3" t="s">
        <v>31</v>
      </c>
      <c r="B22" s="7" t="n">
        <v>720</v>
      </c>
      <c r="C22" s="5" t="s">
        <v>32</v>
      </c>
      <c r="D22" s="5" t="s">
        <v>27</v>
      </c>
    </row>
    <row r="23" customFormat="false" ht="15" hidden="false" customHeight="false" outlineLevel="0" collapsed="false">
      <c r="A23" s="3" t="s">
        <v>33</v>
      </c>
      <c r="B23" s="4" t="n">
        <v>34.72</v>
      </c>
      <c r="C23" s="5" t="s">
        <v>34</v>
      </c>
      <c r="D23" s="5" t="s">
        <v>27</v>
      </c>
    </row>
    <row r="24" customFormat="false" ht="15" hidden="false" customHeight="false" outlineLevel="0" collapsed="false">
      <c r="A24" s="3" t="s">
        <v>35</v>
      </c>
      <c r="B24" s="6" t="n">
        <v>4</v>
      </c>
      <c r="C24" s="5" t="s">
        <v>36</v>
      </c>
      <c r="D24" s="5" t="s">
        <v>27</v>
      </c>
    </row>
    <row r="25" customFormat="false" ht="15" hidden="false" customHeight="false" outlineLevel="0" collapsed="false">
      <c r="A25" s="3" t="s">
        <v>37</v>
      </c>
      <c r="B25" s="7" t="n">
        <v>1440</v>
      </c>
      <c r="C25" s="5" t="s">
        <v>38</v>
      </c>
      <c r="D25" s="5" t="s">
        <v>27</v>
      </c>
    </row>
    <row r="26" customFormat="false" ht="15" hidden="false" customHeight="false" outlineLevel="0" collapsed="false">
      <c r="A26" s="3" t="s">
        <v>39</v>
      </c>
      <c r="B26" s="4" t="n">
        <v>17.36</v>
      </c>
      <c r="C26" s="5" t="s">
        <v>34</v>
      </c>
      <c r="D26" s="5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40</v>
      </c>
    </row>
    <row r="3" customFormat="false" ht="15" hidden="false" customHeight="false" outlineLevel="0" collapsed="false">
      <c r="A3" s="9" t="s">
        <v>41</v>
      </c>
    </row>
    <row r="4" customFormat="false" ht="15" hidden="false" customHeight="false" outlineLevel="0" collapsed="false">
      <c r="A4" s="3" t="s">
        <v>42</v>
      </c>
      <c r="B4" s="10" t="n">
        <v>0</v>
      </c>
    </row>
    <row r="5" customFormat="false" ht="15" hidden="false" customHeight="false" outlineLevel="0" collapsed="false">
      <c r="A5" s="3" t="s">
        <v>43</v>
      </c>
      <c r="B5" s="10" t="n">
        <v>0</v>
      </c>
    </row>
    <row r="6" customFormat="false" ht="15" hidden="false" customHeight="false" outlineLevel="0" collapsed="false">
      <c r="A6" s="3" t="s">
        <v>44</v>
      </c>
      <c r="B6" s="10" t="n">
        <v>0</v>
      </c>
    </row>
    <row r="8" customFormat="false" ht="15" hidden="false" customHeight="false" outlineLevel="0" collapsed="false">
      <c r="A8" s="9" t="s">
        <v>45</v>
      </c>
    </row>
    <row r="9" customFormat="false" ht="15" hidden="false" customHeight="false" outlineLevel="0" collapsed="false">
      <c r="A9" s="5" t="s">
        <v>46</v>
      </c>
      <c r="B9" s="11" t="n">
        <f aca="false">TOM_BEDS*TOM_PRICE</f>
        <v>0</v>
      </c>
    </row>
    <row r="10" customFormat="false" ht="15" hidden="false" customHeight="false" outlineLevel="0" collapsed="false">
      <c r="A10" s="5" t="s">
        <v>47</v>
      </c>
      <c r="B10" s="11" t="n">
        <f aca="false">CAR_BEDS*CAR_PRICE</f>
        <v>0</v>
      </c>
    </row>
    <row r="11" customFormat="false" ht="15" hidden="false" customHeight="false" outlineLevel="0" collapsed="false">
      <c r="A11" s="5" t="s">
        <v>48</v>
      </c>
      <c r="B11" s="11" t="n">
        <f aca="false">MES_BEDS*MES_PRICE</f>
        <v>0</v>
      </c>
    </row>
    <row r="12" customFormat="false" ht="15" hidden="false" customHeight="false" outlineLevel="0" collapsed="false">
      <c r="A12" s="3" t="s">
        <v>49</v>
      </c>
      <c r="B12" s="12" t="n">
        <f aca="false">SUM(B9:B11)</f>
        <v>0</v>
      </c>
    </row>
    <row r="14" customFormat="false" ht="15" hidden="false" customHeight="false" outlineLevel="0" collapsed="false">
      <c r="A14" s="9" t="s">
        <v>50</v>
      </c>
    </row>
    <row r="15" customFormat="false" ht="15" hidden="false" customHeight="false" outlineLevel="0" collapsed="false">
      <c r="A15" s="5" t="s">
        <v>51</v>
      </c>
      <c r="B15" s="11" t="n">
        <f aca="false">TOTAL_LABOR_DOLLARS</f>
        <v>0</v>
      </c>
    </row>
    <row r="16" customFormat="false" ht="15" hidden="false" customHeight="false" outlineLevel="0" collapsed="false">
      <c r="A16" s="5" t="s">
        <v>52</v>
      </c>
      <c r="B16" s="11" t="n">
        <f aca="false">TOTAL_FERT_COST</f>
        <v>0</v>
      </c>
    </row>
    <row r="17" customFormat="false" ht="15" hidden="false" customHeight="false" outlineLevel="0" collapsed="false">
      <c r="A17" s="5" t="s">
        <v>53</v>
      </c>
      <c r="B17" s="11" t="n">
        <f aca="false">B15+B16</f>
        <v>0</v>
      </c>
    </row>
    <row r="18" customFormat="false" ht="15" hidden="false" customHeight="false" outlineLevel="0" collapsed="false">
      <c r="A18" s="5" t="s">
        <v>54</v>
      </c>
      <c r="B18" s="11" t="n">
        <f aca="false">FIXED_COST</f>
        <v>20000</v>
      </c>
    </row>
    <row r="19" customFormat="false" ht="15" hidden="false" customHeight="false" outlineLevel="0" collapsed="false">
      <c r="A19" s="3" t="s">
        <v>55</v>
      </c>
      <c r="B19" s="12" t="n">
        <f aca="false">B17+B18</f>
        <v>20000</v>
      </c>
    </row>
    <row r="21" customFormat="false" ht="15" hidden="false" customHeight="false" outlineLevel="0" collapsed="false">
      <c r="A21" s="9" t="s">
        <v>56</v>
      </c>
    </row>
    <row r="22" customFormat="false" ht="15" hidden="false" customHeight="false" outlineLevel="0" collapsed="false">
      <c r="A22" s="3" t="s">
        <v>57</v>
      </c>
      <c r="B22" s="13" t="n">
        <f aca="false">TOTAL_REVENUE-TOTAL_COST</f>
        <v>-20000</v>
      </c>
    </row>
    <row r="24" customFormat="false" ht="15" hidden="false" customHeight="false" outlineLevel="0" collapsed="false">
      <c r="A24" s="9" t="s">
        <v>58</v>
      </c>
    </row>
    <row r="25" customFormat="false" ht="15" hidden="false" customHeight="false" outlineLevel="0" collapsed="false">
      <c r="A25" s="5" t="s">
        <v>59</v>
      </c>
    </row>
    <row r="26" customFormat="false" ht="15" hidden="false" customHeight="false" outlineLevel="0" collapsed="false">
      <c r="A26" s="5" t="s">
        <v>60</v>
      </c>
    </row>
    <row r="27" customFormat="false" ht="15" hidden="false" customHeight="false" outlineLevel="0" collapsed="false">
      <c r="A27" s="5" t="s">
        <v>61</v>
      </c>
    </row>
    <row r="28" customFormat="false" ht="15" hidden="false" customHeight="false" outlineLevel="0" collapsed="false">
      <c r="A28" s="5" t="s">
        <v>62</v>
      </c>
    </row>
    <row r="29" customFormat="false" ht="15" hidden="false" customHeight="false" outlineLevel="0" collapsed="false">
      <c r="A29" s="5" t="s">
        <v>63</v>
      </c>
    </row>
    <row r="30" customFormat="false" ht="15" hidden="false" customHeight="false" outlineLevel="0" collapsed="false">
      <c r="A30" s="5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65</v>
      </c>
    </row>
    <row r="3" customFormat="false" ht="15" hidden="false" customHeight="false" outlineLevel="0" collapsed="false">
      <c r="A3" s="2" t="s">
        <v>66</v>
      </c>
      <c r="B3" s="2" t="s">
        <v>67</v>
      </c>
      <c r="C3" s="2" t="s">
        <v>68</v>
      </c>
      <c r="D3" s="2" t="s">
        <v>69</v>
      </c>
      <c r="E3" s="2" t="s">
        <v>70</v>
      </c>
    </row>
    <row r="4" customFormat="false" ht="15" hidden="false" customHeight="false" outlineLevel="0" collapsed="false">
      <c r="A4" s="5" t="s">
        <v>71</v>
      </c>
      <c r="B4" s="14" t="n">
        <f aca="false">TOM_BEDS*TOM_HRS*WEEKS*(1+TOM_DIM)^TOM_BEDS</f>
        <v>0</v>
      </c>
      <c r="C4" s="14" t="n">
        <f aca="false">CAR_BEDS*CAR_HRS*WEEKS*(1+CAR_DIM)^CAR_BEDS</f>
        <v>0</v>
      </c>
      <c r="D4" s="14" t="n">
        <f aca="false">MES_BEDS*MES_HRS*WEEKS*(1+MES_DIM)^MES_BEDS</f>
        <v>0</v>
      </c>
      <c r="E4" s="15" t="n">
        <f aca="false">SUM(B4:D4)</f>
        <v>0</v>
      </c>
    </row>
    <row r="5" customFormat="false" ht="15" hidden="false" customHeight="false" outlineLevel="0" collapsed="false">
      <c r="A5" s="5" t="s">
        <v>72</v>
      </c>
      <c r="B5" s="11" t="n">
        <f aca="false">TOM_BEDS*TOM_FERT</f>
        <v>0</v>
      </c>
      <c r="C5" s="11" t="n">
        <f aca="false">CAR_BEDS*CAR_FERT</f>
        <v>0</v>
      </c>
      <c r="D5" s="11" t="n">
        <f aca="false">MES_BEDS*MES_FERT</f>
        <v>0</v>
      </c>
      <c r="E5" s="12" t="n">
        <f aca="false">SUM(B5:D5)</f>
        <v>0</v>
      </c>
    </row>
    <row r="7" customFormat="false" ht="15" hidden="false" customHeight="false" outlineLevel="0" collapsed="false">
      <c r="A7" s="5" t="s">
        <v>73</v>
      </c>
      <c r="B7" s="14" t="n">
        <f aca="false">MIN(TOTAL_HRS,OWN_HRS)</f>
        <v>0</v>
      </c>
    </row>
    <row r="8" customFormat="false" ht="15" hidden="false" customHeight="false" outlineLevel="0" collapsed="false">
      <c r="A8" s="5" t="s">
        <v>74</v>
      </c>
      <c r="B8" s="14" t="n">
        <f aca="false">MAX(TOTAL_HRS-OWN_HRS,0)</f>
        <v>0</v>
      </c>
    </row>
    <row r="9" customFormat="false" ht="15" hidden="false" customHeight="false" outlineLevel="0" collapsed="false">
      <c r="A9" s="3" t="s">
        <v>75</v>
      </c>
      <c r="B9" s="12" t="n">
        <f aca="false">FARMER_HRS_USED*OWN_RATE+TEMP_HRS_USED*WORKER_RATE</f>
        <v>0</v>
      </c>
    </row>
    <row r="10" customFormat="false" ht="15" hidden="false" customHeight="false" outlineLevel="0" collapsed="false">
      <c r="A10" s="3" t="s">
        <v>76</v>
      </c>
      <c r="B10" s="12" t="n">
        <f aca="false">IF(TOTAL_HRS=0,0,TOTAL_LABOR_DOLLARS/TOTAL_HRS)</f>
        <v>0</v>
      </c>
    </row>
    <row r="12" customFormat="false" ht="15" hidden="false" customHeight="false" outlineLevel="0" collapsed="false">
      <c r="A12" s="5" t="s">
        <v>77</v>
      </c>
      <c r="B12" s="11" t="n">
        <f aca="false">LABOR_HRS_TOM*BLENDED_RATE</f>
        <v>0</v>
      </c>
      <c r="C12" s="11" t="n">
        <f aca="false">LABOR_HRS_CAR*BLENDED_RATE</f>
        <v>0</v>
      </c>
      <c r="D12" s="11" t="n">
        <f aca="false">LABOR_HRS_MES*BLENDED_RATE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10" min="2" style="0" width="15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78</v>
      </c>
    </row>
    <row r="2" customFormat="false" ht="166.4" hidden="false" customHeight="false" outlineLevel="0" collapsed="false">
      <c r="A2" s="16" t="s">
        <v>79</v>
      </c>
    </row>
    <row r="4" customFormat="false" ht="15" hidden="false" customHeight="false" outlineLevel="0" collapsed="false">
      <c r="A4" s="9" t="s">
        <v>80</v>
      </c>
    </row>
    <row r="5" customFormat="false" ht="26.85" hidden="false" customHeight="false" outlineLevel="0" collapsed="false">
      <c r="A5" s="17" t="s">
        <v>81</v>
      </c>
      <c r="B5" s="17" t="s">
        <v>82</v>
      </c>
      <c r="C5" s="17" t="s">
        <v>83</v>
      </c>
      <c r="D5" s="17" t="s">
        <v>84</v>
      </c>
      <c r="E5" s="17" t="s">
        <v>85</v>
      </c>
      <c r="F5" s="17" t="s">
        <v>86</v>
      </c>
      <c r="G5" s="17" t="s">
        <v>72</v>
      </c>
      <c r="H5" s="17" t="s">
        <v>87</v>
      </c>
      <c r="I5" s="17" t="s">
        <v>88</v>
      </c>
      <c r="J5" s="17" t="s">
        <v>89</v>
      </c>
      <c r="K5" s="17" t="s">
        <v>90</v>
      </c>
    </row>
    <row r="6" customFormat="false" ht="15" hidden="false" customHeight="false" outlineLevel="0" collapsed="false">
      <c r="A6" s="18" t="n">
        <v>0</v>
      </c>
      <c r="B6" s="14" t="n">
        <f aca="false">A6*TOM_HRS*WEEKS*(1+TOM_DIM)^A6</f>
        <v>0</v>
      </c>
      <c r="C6" s="14" t="n">
        <f aca="false">MIN(B6,OWN_HRS)</f>
        <v>0</v>
      </c>
      <c r="D6" s="14" t="n">
        <f aca="false">MAX(B6-OWN_HRS,0)</f>
        <v>0</v>
      </c>
      <c r="E6" s="11" t="n">
        <f aca="false">C6*OWN_RATE+D6*WORKER_RATE</f>
        <v>0</v>
      </c>
      <c r="F6" s="11" t="n">
        <f aca="false">IF(B6=0,0,E6/B6)</f>
        <v>0</v>
      </c>
      <c r="G6" s="11" t="n">
        <f aca="false">A6*TOM_FERT</f>
        <v>0</v>
      </c>
      <c r="H6" s="11" t="n">
        <f aca="false">E6+G6</f>
        <v>0</v>
      </c>
      <c r="I6" s="5" t="s">
        <v>91</v>
      </c>
      <c r="J6" s="11" t="n">
        <f aca="false">TOM_PRICE</f>
        <v>8800</v>
      </c>
      <c r="K6" s="5"/>
    </row>
    <row r="7" customFormat="false" ht="15" hidden="false" customHeight="false" outlineLevel="0" collapsed="false">
      <c r="A7" s="18" t="n">
        <v>1</v>
      </c>
      <c r="B7" s="14" t="n">
        <f aca="false">A7*TOM_HRS*WEEKS*(1+TOM_DIM)^A7</f>
        <v>99</v>
      </c>
      <c r="C7" s="14" t="n">
        <f aca="false">MIN(B7,OWN_HRS)</f>
        <v>99</v>
      </c>
      <c r="D7" s="14" t="n">
        <f aca="false">MAX(B7-OWN_HRS,0)</f>
        <v>0</v>
      </c>
      <c r="E7" s="11" t="n">
        <f aca="false">C7*OWN_RATE+D7*WORKER_RATE</f>
        <v>3437.28</v>
      </c>
      <c r="F7" s="11" t="n">
        <f aca="false">IF(B7=0,0,E7/B7)</f>
        <v>34.72</v>
      </c>
      <c r="G7" s="11" t="n">
        <f aca="false">A7*TOM_FERT</f>
        <v>880</v>
      </c>
      <c r="H7" s="11" t="n">
        <f aca="false">E7+G7</f>
        <v>4317.28</v>
      </c>
      <c r="I7" s="11" t="n">
        <f aca="false">H7-H6</f>
        <v>4317.28</v>
      </c>
      <c r="J7" s="11" t="n">
        <f aca="false">TOM_PRICE</f>
        <v>8800</v>
      </c>
      <c r="K7" s="18" t="n">
        <f aca="false">IF(I7&gt;=TOM_PRICE,1,0)</f>
        <v>0</v>
      </c>
    </row>
    <row r="8" customFormat="false" ht="15" hidden="false" customHeight="false" outlineLevel="0" collapsed="false">
      <c r="A8" s="18" t="n">
        <v>2</v>
      </c>
      <c r="B8" s="14" t="n">
        <f aca="false">A8*TOM_HRS*WEEKS*(1+TOM_DIM)^A8</f>
        <v>217.8</v>
      </c>
      <c r="C8" s="14" t="n">
        <f aca="false">MIN(B8,OWN_HRS)</f>
        <v>217.8</v>
      </c>
      <c r="D8" s="14" t="n">
        <f aca="false">MAX(B8-OWN_HRS,0)</f>
        <v>0</v>
      </c>
      <c r="E8" s="11" t="n">
        <f aca="false">C8*OWN_RATE+D8*WORKER_RATE</f>
        <v>7562.016</v>
      </c>
      <c r="F8" s="11" t="n">
        <f aca="false">IF(B8=0,0,E8/B8)</f>
        <v>34.72</v>
      </c>
      <c r="G8" s="11" t="n">
        <f aca="false">A8*TOM_FERT</f>
        <v>1760</v>
      </c>
      <c r="H8" s="11" t="n">
        <f aca="false">E8+G8</f>
        <v>9322.016</v>
      </c>
      <c r="I8" s="11" t="n">
        <f aca="false">H8-H7</f>
        <v>5004.736</v>
      </c>
      <c r="J8" s="11" t="n">
        <f aca="false">TOM_PRICE</f>
        <v>8800</v>
      </c>
      <c r="K8" s="18" t="n">
        <f aca="false">IF(I8&gt;=TOM_PRICE,1,0)</f>
        <v>0</v>
      </c>
    </row>
    <row r="9" customFormat="false" ht="15" hidden="false" customHeight="false" outlineLevel="0" collapsed="false">
      <c r="A9" s="18" t="n">
        <v>3</v>
      </c>
      <c r="B9" s="14" t="n">
        <f aca="false">A9*TOM_HRS*WEEKS*(1+TOM_DIM)^A9</f>
        <v>359.37</v>
      </c>
      <c r="C9" s="14" t="n">
        <f aca="false">MIN(B9,OWN_HRS)</f>
        <v>359.37</v>
      </c>
      <c r="D9" s="14" t="n">
        <f aca="false">MAX(B9-OWN_HRS,0)</f>
        <v>0</v>
      </c>
      <c r="E9" s="11" t="n">
        <f aca="false">C9*OWN_RATE+D9*WORKER_RATE</f>
        <v>12477.3264</v>
      </c>
      <c r="F9" s="11" t="n">
        <f aca="false">IF(B9=0,0,E9/B9)</f>
        <v>34.72</v>
      </c>
      <c r="G9" s="11" t="n">
        <f aca="false">A9*TOM_FERT</f>
        <v>2640</v>
      </c>
      <c r="H9" s="11" t="n">
        <f aca="false">E9+G9</f>
        <v>15117.3264</v>
      </c>
      <c r="I9" s="11" t="n">
        <f aca="false">H9-H8</f>
        <v>5795.3104</v>
      </c>
      <c r="J9" s="11" t="n">
        <f aca="false">TOM_PRICE</f>
        <v>8800</v>
      </c>
      <c r="K9" s="18" t="n">
        <f aca="false">IF(I9&gt;=TOM_PRICE,1,0)</f>
        <v>0</v>
      </c>
    </row>
    <row r="10" customFormat="false" ht="15" hidden="false" customHeight="false" outlineLevel="0" collapsed="false">
      <c r="A10" s="18" t="n">
        <v>4</v>
      </c>
      <c r="B10" s="14" t="n">
        <f aca="false">A10*TOM_HRS*WEEKS*(1+TOM_DIM)^A10</f>
        <v>527.076</v>
      </c>
      <c r="C10" s="14" t="n">
        <f aca="false">MIN(B10,OWN_HRS)</f>
        <v>527.076</v>
      </c>
      <c r="D10" s="14" t="n">
        <f aca="false">MAX(B10-OWN_HRS,0)</f>
        <v>0</v>
      </c>
      <c r="E10" s="11" t="n">
        <f aca="false">C10*OWN_RATE+D10*WORKER_RATE</f>
        <v>18300.07872</v>
      </c>
      <c r="F10" s="11" t="n">
        <f aca="false">IF(B10=0,0,E10/B10)</f>
        <v>34.72</v>
      </c>
      <c r="G10" s="11" t="n">
        <f aca="false">A10*TOM_FERT</f>
        <v>3520</v>
      </c>
      <c r="H10" s="11" t="n">
        <f aca="false">E10+G10</f>
        <v>21820.07872</v>
      </c>
      <c r="I10" s="11" t="n">
        <f aca="false">H10-H9</f>
        <v>6702.75232</v>
      </c>
      <c r="J10" s="11" t="n">
        <f aca="false">TOM_PRICE</f>
        <v>8800</v>
      </c>
      <c r="K10" s="18" t="n">
        <f aca="false">IF(I10&gt;=TOM_PRICE,1,0)</f>
        <v>0</v>
      </c>
    </row>
    <row r="11" customFormat="false" ht="15" hidden="false" customHeight="false" outlineLevel="0" collapsed="false">
      <c r="A11" s="18" t="n">
        <v>5</v>
      </c>
      <c r="B11" s="14" t="n">
        <f aca="false">A11*TOM_HRS*WEEKS*(1+TOM_DIM)^A11</f>
        <v>724.7295</v>
      </c>
      <c r="C11" s="14" t="n">
        <f aca="false">MIN(B11,OWN_HRS)</f>
        <v>720</v>
      </c>
      <c r="D11" s="14" t="n">
        <f aca="false">MAX(B11-OWN_HRS,0)</f>
        <v>4.72950000000026</v>
      </c>
      <c r="E11" s="11" t="n">
        <f aca="false">C11*OWN_RATE+D11*WORKER_RATE</f>
        <v>25080.50412</v>
      </c>
      <c r="F11" s="11" t="n">
        <f aca="false">IF(B11=0,0,E11/B11)</f>
        <v>34.6067106692911</v>
      </c>
      <c r="G11" s="11" t="n">
        <f aca="false">A11*TOM_FERT</f>
        <v>4400</v>
      </c>
      <c r="H11" s="11" t="n">
        <f aca="false">E11+G11</f>
        <v>29480.50412</v>
      </c>
      <c r="I11" s="11" t="n">
        <f aca="false">H11-H10</f>
        <v>7660.4254</v>
      </c>
      <c r="J11" s="11" t="n">
        <f aca="false">TOM_PRICE</f>
        <v>8800</v>
      </c>
      <c r="K11" s="18" t="n">
        <f aca="false">IF(I11&gt;=TOM_PRICE,1,0)</f>
        <v>0</v>
      </c>
    </row>
    <row r="12" customFormat="false" ht="15" hidden="false" customHeight="false" outlineLevel="0" collapsed="false">
      <c r="A12" s="18" t="n">
        <v>6</v>
      </c>
      <c r="B12" s="14" t="n">
        <f aca="false">A12*TOM_HRS*WEEKS*(1+TOM_DIM)^A12</f>
        <v>956.64294</v>
      </c>
      <c r="C12" s="14" t="n">
        <f aca="false">MIN(B12,OWN_HRS)</f>
        <v>720</v>
      </c>
      <c r="D12" s="14" t="n">
        <f aca="false">MAX(B12-OWN_HRS,0)</f>
        <v>236.64294</v>
      </c>
      <c r="E12" s="11" t="n">
        <f aca="false">C12*OWN_RATE+D12*WORKER_RATE</f>
        <v>29106.5214384</v>
      </c>
      <c r="F12" s="11" t="n">
        <f aca="false">IF(B12=0,0,E12/B12)</f>
        <v>30.4256899009781</v>
      </c>
      <c r="G12" s="11" t="n">
        <f aca="false">A12*TOM_FERT</f>
        <v>5280</v>
      </c>
      <c r="H12" s="11" t="n">
        <f aca="false">E12+G12</f>
        <v>34386.5214384</v>
      </c>
      <c r="I12" s="11" t="n">
        <f aca="false">H12-H11</f>
        <v>4906.01731840001</v>
      </c>
      <c r="J12" s="11" t="n">
        <f aca="false">TOM_PRICE</f>
        <v>8800</v>
      </c>
      <c r="K12" s="18" t="n">
        <f aca="false">IF(I12&gt;=TOM_PRICE,1,0)</f>
        <v>0</v>
      </c>
    </row>
    <row r="13" customFormat="false" ht="15" hidden="false" customHeight="false" outlineLevel="0" collapsed="false">
      <c r="A13" s="18" t="n">
        <v>7</v>
      </c>
      <c r="B13" s="14" t="n">
        <f aca="false">A13*TOM_HRS*WEEKS*(1+TOM_DIM)^A13</f>
        <v>1227.691773</v>
      </c>
      <c r="C13" s="14" t="n">
        <f aca="false">MIN(B13,OWN_HRS)</f>
        <v>720</v>
      </c>
      <c r="D13" s="14" t="n">
        <f aca="false">MAX(B13-OWN_HRS,0)</f>
        <v>507.691773000001</v>
      </c>
      <c r="E13" s="11" t="n">
        <f aca="false">C13*OWN_RATE+D13*WORKER_RATE</f>
        <v>33811.92917928</v>
      </c>
      <c r="F13" s="11" t="n">
        <f aca="false">IF(B13=0,0,E13/B13)</f>
        <v>27.5410570656972</v>
      </c>
      <c r="G13" s="11" t="n">
        <f aca="false">A13*TOM_FERT</f>
        <v>6160</v>
      </c>
      <c r="H13" s="11" t="n">
        <f aca="false">E13+G13</f>
        <v>39971.92917928</v>
      </c>
      <c r="I13" s="11" t="n">
        <f aca="false">H13-H12</f>
        <v>5585.40774088</v>
      </c>
      <c r="J13" s="11" t="n">
        <f aca="false">TOM_PRICE</f>
        <v>8800</v>
      </c>
      <c r="K13" s="18" t="n">
        <f aca="false">IF(I13&gt;=TOM_PRICE,1,0)</f>
        <v>0</v>
      </c>
    </row>
    <row r="14" customFormat="false" ht="15" hidden="false" customHeight="false" outlineLevel="0" collapsed="false">
      <c r="A14" s="18" t="n">
        <v>8</v>
      </c>
      <c r="B14" s="14" t="n">
        <f aca="false">A14*TOM_HRS*WEEKS*(1+TOM_DIM)^A14</f>
        <v>1543.3839432</v>
      </c>
      <c r="C14" s="14" t="n">
        <f aca="false">MIN(B14,OWN_HRS)</f>
        <v>720</v>
      </c>
      <c r="D14" s="14" t="n">
        <f aca="false">MAX(B14-OWN_HRS,0)</f>
        <v>823.383943200001</v>
      </c>
      <c r="E14" s="11" t="n">
        <f aca="false">C14*OWN_RATE+D14*WORKER_RATE</f>
        <v>39292.345253952</v>
      </c>
      <c r="F14" s="11" t="n">
        <f aca="false">IF(B14=0,0,E14/B14)</f>
        <v>25.458568120441</v>
      </c>
      <c r="G14" s="11" t="n">
        <f aca="false">A14*TOM_FERT</f>
        <v>7040</v>
      </c>
      <c r="H14" s="11" t="n">
        <f aca="false">E14+G14</f>
        <v>46332.345253952</v>
      </c>
      <c r="I14" s="11" t="n">
        <f aca="false">H14-H13</f>
        <v>6360.41607467201</v>
      </c>
      <c r="J14" s="11" t="n">
        <f aca="false">TOM_PRICE</f>
        <v>8800</v>
      </c>
      <c r="K14" s="18" t="n">
        <f aca="false">IF(I14&gt;=TOM_PRICE,1,0)</f>
        <v>0</v>
      </c>
    </row>
    <row r="15" customFormat="false" ht="15" hidden="false" customHeight="false" outlineLevel="0" collapsed="false">
      <c r="A15" s="18" t="n">
        <v>9</v>
      </c>
      <c r="B15" s="14" t="n">
        <f aca="false">A15*TOM_HRS*WEEKS*(1+TOM_DIM)^A15</f>
        <v>1909.93762971</v>
      </c>
      <c r="C15" s="14" t="n">
        <f aca="false">MIN(B15,OWN_HRS)</f>
        <v>720</v>
      </c>
      <c r="D15" s="14" t="n">
        <f aca="false">MAX(B15-OWN_HRS,0)</f>
        <v>1189.93762971</v>
      </c>
      <c r="E15" s="11" t="n">
        <f aca="false">C15*OWN_RATE+D15*WORKER_RATE</f>
        <v>45655.7172517656</v>
      </c>
      <c r="F15" s="11" t="n">
        <f aca="false">IF(B15=0,0,E15/B15)</f>
        <v>23.9042974710634</v>
      </c>
      <c r="G15" s="11" t="n">
        <f aca="false">A15*TOM_FERT</f>
        <v>7920</v>
      </c>
      <c r="H15" s="11" t="n">
        <f aca="false">E15+G15</f>
        <v>53575.7172517656</v>
      </c>
      <c r="I15" s="11" t="n">
        <f aca="false">H15-H14</f>
        <v>7243.37199781361</v>
      </c>
      <c r="J15" s="11" t="n">
        <f aca="false">TOM_PRICE</f>
        <v>8800</v>
      </c>
      <c r="K15" s="18" t="n">
        <f aca="false">IF(I15&gt;=TOM_PRICE,1,0)</f>
        <v>0</v>
      </c>
    </row>
    <row r="16" customFormat="false" ht="15" hidden="false" customHeight="false" outlineLevel="0" collapsed="false">
      <c r="A16" s="18" t="n">
        <v>10</v>
      </c>
      <c r="B16" s="14" t="n">
        <f aca="false">A16*TOM_HRS*WEEKS*(1+TOM_DIM)^A16</f>
        <v>2334.36821409</v>
      </c>
      <c r="C16" s="14" t="n">
        <f aca="false">MIN(B16,OWN_HRS)</f>
        <v>720</v>
      </c>
      <c r="D16" s="14" t="n">
        <f aca="false">MAX(B16-OWN_HRS,0)</f>
        <v>1614.36821409</v>
      </c>
      <c r="E16" s="11" t="n">
        <f aca="false">C16*OWN_RATE+D16*WORKER_RATE</f>
        <v>53023.8321966024</v>
      </c>
      <c r="F16" s="11" t="n">
        <f aca="false">IF(B16=0,0,E16/B16)</f>
        <v>22.7144252035973</v>
      </c>
      <c r="G16" s="11" t="n">
        <f aca="false">A16*TOM_FERT</f>
        <v>8800</v>
      </c>
      <c r="H16" s="11" t="n">
        <f aca="false">E16+G16</f>
        <v>61823.8321966024</v>
      </c>
      <c r="I16" s="11" t="n">
        <f aca="false">H16-H15</f>
        <v>8248.1149448368</v>
      </c>
      <c r="J16" s="11" t="n">
        <f aca="false">TOM_PRICE</f>
        <v>8800</v>
      </c>
      <c r="K16" s="18" t="n">
        <f aca="false">IF(I16&gt;=TOM_PRICE,1,0)</f>
        <v>0</v>
      </c>
    </row>
    <row r="17" customFormat="false" ht="15" hidden="false" customHeight="false" outlineLevel="0" collapsed="false">
      <c r="A17" s="18" t="n">
        <v>11</v>
      </c>
      <c r="B17" s="14" t="n">
        <f aca="false">A17*TOM_HRS*WEEKS*(1+TOM_DIM)^A17</f>
        <v>2824.5855390489</v>
      </c>
      <c r="C17" s="14" t="n">
        <f aca="false">MIN(B17,OWN_HRS)</f>
        <v>720</v>
      </c>
      <c r="D17" s="14" t="n">
        <f aca="false">MAX(B17-OWN_HRS,0)</f>
        <v>2104.5855390489</v>
      </c>
      <c r="E17" s="11" t="n">
        <f aca="false">C17*OWN_RATE+D17*WORKER_RATE</f>
        <v>61534.0049578889</v>
      </c>
      <c r="F17" s="11" t="n">
        <f aca="false">IF(B17=0,0,E17/B17)</f>
        <v>21.7851447963614</v>
      </c>
      <c r="G17" s="11" t="n">
        <f aca="false">A17*TOM_FERT</f>
        <v>9680</v>
      </c>
      <c r="H17" s="11" t="n">
        <f aca="false">E17+G17</f>
        <v>71214.0049578889</v>
      </c>
      <c r="I17" s="11" t="n">
        <f aca="false">H17-H16</f>
        <v>9390.17276128651</v>
      </c>
      <c r="J17" s="11" t="n">
        <f aca="false">TOM_PRICE</f>
        <v>8800</v>
      </c>
      <c r="K17" s="18" t="n">
        <f aca="false">IF(I17&gt;=TOM_PRICE,1,0)</f>
        <v>1</v>
      </c>
    </row>
    <row r="18" customFormat="false" ht="15" hidden="false" customHeight="false" outlineLevel="0" collapsed="false">
      <c r="A18" s="18" t="n">
        <v>12</v>
      </c>
      <c r="B18" s="14" t="n">
        <f aca="false">A18*TOM_HRS*WEEKS*(1+TOM_DIM)^A18</f>
        <v>3389.50264685868</v>
      </c>
      <c r="C18" s="14" t="n">
        <f aca="false">MIN(B18,OWN_HRS)</f>
        <v>720</v>
      </c>
      <c r="D18" s="14" t="n">
        <f aca="false">MAX(B18-OWN_HRS,0)</f>
        <v>2669.50264685868</v>
      </c>
      <c r="E18" s="11" t="n">
        <f aca="false">C18*OWN_RATE+D18*WORKER_RATE</f>
        <v>71340.9659494667</v>
      </c>
      <c r="F18" s="11" t="n">
        <f aca="false">IF(B18=0,0,E18/B18)</f>
        <v>21.0476206636345</v>
      </c>
      <c r="G18" s="11" t="n">
        <f aca="false">A18*TOM_FERT</f>
        <v>10560</v>
      </c>
      <c r="H18" s="11" t="n">
        <f aca="false">E18+G18</f>
        <v>81900.9659494667</v>
      </c>
      <c r="I18" s="11" t="n">
        <f aca="false">H18-H17</f>
        <v>10686.9609915778</v>
      </c>
      <c r="J18" s="11" t="n">
        <f aca="false">TOM_PRICE</f>
        <v>8800</v>
      </c>
      <c r="K18" s="18" t="n">
        <f aca="false">IF(I18&gt;=TOM_PRICE,1,0)</f>
        <v>1</v>
      </c>
    </row>
    <row r="19" customFormat="false" ht="15" hidden="false" customHeight="false" outlineLevel="0" collapsed="false">
      <c r="A19" s="18" t="n">
        <v>13</v>
      </c>
      <c r="B19" s="14" t="n">
        <f aca="false">A19*TOM_HRS*WEEKS*(1+TOM_DIM)^A19</f>
        <v>4039.15732083993</v>
      </c>
      <c r="C19" s="14" t="n">
        <f aca="false">MIN(B19,OWN_HRS)</f>
        <v>720</v>
      </c>
      <c r="D19" s="14" t="n">
        <f aca="false">MAX(B19-OWN_HRS,0)</f>
        <v>3319.15732083993</v>
      </c>
      <c r="E19" s="11" t="n">
        <f aca="false">C19*OWN_RATE+D19*WORKER_RATE</f>
        <v>82618.9710897812</v>
      </c>
      <c r="F19" s="11" t="n">
        <f aca="false">IF(B19=0,0,E19/B19)</f>
        <v>20.4545068506024</v>
      </c>
      <c r="G19" s="11" t="n">
        <f aca="false">A19*TOM_FERT</f>
        <v>11440</v>
      </c>
      <c r="H19" s="11" t="n">
        <f aca="false">E19+G19</f>
        <v>94058.9710897812</v>
      </c>
      <c r="I19" s="11" t="n">
        <f aca="false">H19-H18</f>
        <v>12158.0051403145</v>
      </c>
      <c r="J19" s="11" t="n">
        <f aca="false">TOM_PRICE</f>
        <v>8800</v>
      </c>
      <c r="K19" s="18" t="n">
        <f aca="false">IF(I19&gt;=TOM_PRICE,1,0)</f>
        <v>1</v>
      </c>
    </row>
    <row r="20" customFormat="false" ht="15" hidden="false" customHeight="false" outlineLevel="0" collapsed="false">
      <c r="A20" s="18" t="n">
        <v>14</v>
      </c>
      <c r="B20" s="14" t="n">
        <f aca="false">A20*TOM_HRS*WEEKS*(1+TOM_DIM)^A20</f>
        <v>4784.84790314884</v>
      </c>
      <c r="C20" s="14" t="n">
        <f aca="false">MIN(B20,OWN_HRS)</f>
        <v>720</v>
      </c>
      <c r="D20" s="14" t="n">
        <f aca="false">MAX(B20-OWN_HRS,0)</f>
        <v>4064.84790314884</v>
      </c>
      <c r="E20" s="11" t="n">
        <f aca="false">C20*OWN_RATE+D20*WORKER_RATE</f>
        <v>95564.1595986639</v>
      </c>
      <c r="F20" s="11" t="n">
        <f aca="false">IF(B20=0,0,E20/B20)</f>
        <v>19.9722460427163</v>
      </c>
      <c r="G20" s="11" t="n">
        <f aca="false">A20*TOM_FERT</f>
        <v>12320</v>
      </c>
      <c r="H20" s="11" t="n">
        <f aca="false">E20+G20</f>
        <v>107884.159598664</v>
      </c>
      <c r="I20" s="11" t="n">
        <f aca="false">H20-H19</f>
        <v>13825.1885088827</v>
      </c>
      <c r="J20" s="11" t="n">
        <f aca="false">TOM_PRICE</f>
        <v>8800</v>
      </c>
      <c r="K20" s="18" t="n">
        <f aca="false">IF(I20&gt;=TOM_PRICE,1,0)</f>
        <v>1</v>
      </c>
    </row>
    <row r="21" customFormat="false" ht="15" hidden="false" customHeight="false" outlineLevel="0" collapsed="false">
      <c r="A21" s="18" t="n">
        <v>15</v>
      </c>
      <c r="B21" s="14" t="n">
        <f aca="false">A21*TOM_HRS*WEEKS*(1+TOM_DIM)^A21</f>
        <v>5639.28502871114</v>
      </c>
      <c r="C21" s="14" t="n">
        <f aca="false">MIN(B21,OWN_HRS)</f>
        <v>720</v>
      </c>
      <c r="D21" s="14" t="n">
        <f aca="false">MAX(B21-OWN_HRS,0)</f>
        <v>4919.28502871114</v>
      </c>
      <c r="E21" s="11" t="n">
        <f aca="false">C21*OWN_RATE+D21*WORKER_RATE</f>
        <v>110397.188098425</v>
      </c>
      <c r="F21" s="11" t="n">
        <f aca="false">IF(B21=0,0,E21/B21)</f>
        <v>19.5764511877593</v>
      </c>
      <c r="G21" s="11" t="n">
        <f aca="false">A21*TOM_FERT</f>
        <v>13200</v>
      </c>
      <c r="H21" s="11" t="n">
        <f aca="false">E21+G21</f>
        <v>123597.188098425</v>
      </c>
      <c r="I21" s="11" t="n">
        <f aca="false">H21-H20</f>
        <v>15713.0284997614</v>
      </c>
      <c r="J21" s="11" t="n">
        <f aca="false">TOM_PRICE</f>
        <v>8800</v>
      </c>
      <c r="K21" s="18" t="n">
        <f aca="false">IF(I21&gt;=TOM_PRICE,1,0)</f>
        <v>1</v>
      </c>
    </row>
    <row r="22" customFormat="false" ht="15" hidden="false" customHeight="false" outlineLevel="0" collapsed="false">
      <c r="A22" s="18" t="n">
        <v>16</v>
      </c>
      <c r="B22" s="14" t="n">
        <f aca="false">A22*TOM_HRS*WEEKS*(1+TOM_DIM)^A22</f>
        <v>6616.7611003544</v>
      </c>
      <c r="C22" s="14" t="n">
        <f aca="false">MIN(B22,OWN_HRS)</f>
        <v>720</v>
      </c>
      <c r="D22" s="14" t="n">
        <f aca="false">MAX(B22-OWN_HRS,0)</f>
        <v>5896.7611003544</v>
      </c>
      <c r="E22" s="11" t="n">
        <f aca="false">C22*OWN_RATE+D22*WORKER_RATE</f>
        <v>127366.172702152</v>
      </c>
      <c r="F22" s="11" t="n">
        <f aca="false">IF(B22=0,0,E22/B22)</f>
        <v>19.2490208986585</v>
      </c>
      <c r="G22" s="11" t="n">
        <f aca="false">A22*TOM_FERT</f>
        <v>14080</v>
      </c>
      <c r="H22" s="11" t="n">
        <f aca="false">E22+G22</f>
        <v>141446.172702152</v>
      </c>
      <c r="I22" s="11" t="n">
        <f aca="false">H22-H21</f>
        <v>17848.9846037271</v>
      </c>
      <c r="J22" s="11" t="n">
        <f aca="false">TOM_PRICE</f>
        <v>8800</v>
      </c>
      <c r="K22" s="18" t="n">
        <f aca="false">IF(I22&gt;=TOM_PRICE,1,0)</f>
        <v>1</v>
      </c>
    </row>
    <row r="23" customFormat="false" ht="15" hidden="false" customHeight="false" outlineLevel="0" collapsed="false">
      <c r="A23" s="18" t="n">
        <v>17</v>
      </c>
      <c r="B23" s="14" t="n">
        <f aca="false">A23*TOM_HRS*WEEKS*(1+TOM_DIM)^A23</f>
        <v>7733.33953603921</v>
      </c>
      <c r="C23" s="14" t="n">
        <f aca="false">MIN(B23,OWN_HRS)</f>
        <v>720</v>
      </c>
      <c r="D23" s="14" t="n">
        <f aca="false">MAX(B23-OWN_HRS,0)</f>
        <v>7013.33953603921</v>
      </c>
      <c r="E23" s="11" t="n">
        <f aca="false">C23*OWN_RATE+D23*WORKER_RATE</f>
        <v>146749.974345641</v>
      </c>
      <c r="F23" s="11" t="n">
        <f aca="false">IF(B23=0,0,E23/B23)</f>
        <v>18.9762745656971</v>
      </c>
      <c r="G23" s="11" t="n">
        <f aca="false">A23*TOM_FERT</f>
        <v>14960</v>
      </c>
      <c r="H23" s="11" t="n">
        <f aca="false">E23+G23</f>
        <v>161709.974345641</v>
      </c>
      <c r="I23" s="11" t="n">
        <f aca="false">H23-H22</f>
        <v>20263.8016434882</v>
      </c>
      <c r="J23" s="11" t="n">
        <f aca="false">TOM_PRICE</f>
        <v>8800</v>
      </c>
      <c r="K23" s="18" t="n">
        <f aca="false">IF(I23&gt;=TOM_PRICE,1,0)</f>
        <v>1</v>
      </c>
    </row>
    <row r="24" customFormat="false" ht="15" hidden="false" customHeight="false" outlineLevel="0" collapsed="false">
      <c r="A24" s="18" t="n">
        <v>18</v>
      </c>
      <c r="B24" s="14" t="n">
        <f aca="false">A24*TOM_HRS*WEEKS*(1+TOM_DIM)^A24</f>
        <v>9007.06604785743</v>
      </c>
      <c r="C24" s="14" t="n">
        <f aca="false">MIN(B24,OWN_HRS)</f>
        <v>720</v>
      </c>
      <c r="D24" s="14" t="n">
        <f aca="false">MAX(B24-OWN_HRS,0)</f>
        <v>8287.06604785743</v>
      </c>
      <c r="E24" s="11" t="n">
        <f aca="false">C24*OWN_RATE+D24*WORKER_RATE</f>
        <v>168861.866590805</v>
      </c>
      <c r="F24" s="11" t="n">
        <f aca="false">IF(B24=0,0,E24/B24)</f>
        <v>18.7477104856995</v>
      </c>
      <c r="G24" s="11" t="n">
        <f aca="false">A24*TOM_FERT</f>
        <v>15840</v>
      </c>
      <c r="H24" s="11" t="n">
        <f aca="false">E24+G24</f>
        <v>184701.866590805</v>
      </c>
      <c r="I24" s="11" t="n">
        <f aca="false">H24-H23</f>
        <v>22991.8922451643</v>
      </c>
      <c r="J24" s="11" t="n">
        <f aca="false">TOM_PRICE</f>
        <v>8800</v>
      </c>
      <c r="K24" s="18" t="n">
        <f aca="false">IF(I24&gt;=TOM_PRICE,1,0)</f>
        <v>1</v>
      </c>
    </row>
    <row r="25" customFormat="false" ht="15" hidden="false" customHeight="false" outlineLevel="0" collapsed="false">
      <c r="A25" s="18" t="n">
        <v>19</v>
      </c>
      <c r="B25" s="14" t="n">
        <f aca="false">A25*TOM_HRS*WEEKS*(1+TOM_DIM)^A25</f>
        <v>10458.2044666789</v>
      </c>
      <c r="C25" s="14" t="n">
        <f aca="false">MIN(B25,OWN_HRS)</f>
        <v>720</v>
      </c>
      <c r="D25" s="14" t="n">
        <f aca="false">MAX(B25-OWN_HRS,0)</f>
        <v>9738.2044666789</v>
      </c>
      <c r="E25" s="11" t="n">
        <f aca="false">C25*OWN_RATE+D25*WORKER_RATE</f>
        <v>194053.629541546</v>
      </c>
      <c r="F25" s="11" t="n">
        <f aca="false">IF(B25=0,0,E25/B25)</f>
        <v>18.5551573561049</v>
      </c>
      <c r="G25" s="11" t="n">
        <f aca="false">A25*TOM_FERT</f>
        <v>16720</v>
      </c>
      <c r="H25" s="11" t="n">
        <f aca="false">E25+G25</f>
        <v>210773.629541546</v>
      </c>
      <c r="I25" s="11" t="n">
        <f aca="false">H25-H24</f>
        <v>26071.7629507408</v>
      </c>
      <c r="J25" s="11" t="n">
        <f aca="false">TOM_PRICE</f>
        <v>8800</v>
      </c>
      <c r="K25" s="18" t="n">
        <f aca="false">IF(I25&gt;=TOM_PRICE,1,0)</f>
        <v>1</v>
      </c>
    </row>
    <row r="26" customFormat="false" ht="15" hidden="false" customHeight="false" outlineLevel="0" collapsed="false">
      <c r="A26" s="18" t="n">
        <v>20</v>
      </c>
      <c r="B26" s="14" t="n">
        <f aca="false">A26*TOM_HRS*WEEKS*(1+TOM_DIM)^A26</f>
        <v>12109.4999087861</v>
      </c>
      <c r="C26" s="14" t="n">
        <f aca="false">MIN(B26,OWN_HRS)</f>
        <v>720</v>
      </c>
      <c r="D26" s="14" t="n">
        <f aca="false">MAX(B26-OWN_HRS,0)</f>
        <v>11389.4999087861</v>
      </c>
      <c r="E26" s="11" t="n">
        <f aca="false">C26*OWN_RATE+D26*WORKER_RATE</f>
        <v>222720.118416527</v>
      </c>
      <c r="F26" s="11" t="n">
        <f aca="false">IF(B26=0,0,E26/B26)</f>
        <v>18.3921813529997</v>
      </c>
      <c r="G26" s="11" t="n">
        <f aca="false">A26*TOM_FERT</f>
        <v>17600</v>
      </c>
      <c r="H26" s="11" t="n">
        <f aca="false">E26+G26</f>
        <v>240320.118416527</v>
      </c>
      <c r="I26" s="11" t="n">
        <f aca="false">H26-H25</f>
        <v>29546.4888749809</v>
      </c>
      <c r="J26" s="11" t="n">
        <f aca="false">TOM_PRICE</f>
        <v>8800</v>
      </c>
      <c r="K26" s="18" t="n">
        <f aca="false">IF(I26&gt;=TOM_PRICE,1,0)</f>
        <v>1</v>
      </c>
    </row>
    <row r="28" customFormat="false" ht="15" hidden="false" customHeight="false" outlineLevel="0" collapsed="false">
      <c r="A28" s="3" t="s">
        <v>92</v>
      </c>
      <c r="B28" s="19" t="n">
        <f aca="false">IF(ISNA(MATCH(1,'Marginal Cost Schedules'!$K$7:$K$26,0)),TOM_CAP,MATCH(1,'Marginal Cost Schedules'!$K$7:$K$26,0)-1)</f>
        <v>10</v>
      </c>
    </row>
    <row r="31" customFormat="false" ht="15" hidden="false" customHeight="false" outlineLevel="0" collapsed="false">
      <c r="A31" s="9" t="s">
        <v>93</v>
      </c>
    </row>
    <row r="32" customFormat="false" ht="26.85" hidden="false" customHeight="false" outlineLevel="0" collapsed="false">
      <c r="A32" s="17" t="s">
        <v>81</v>
      </c>
      <c r="B32" s="17" t="s">
        <v>82</v>
      </c>
      <c r="C32" s="17" t="s">
        <v>83</v>
      </c>
      <c r="D32" s="17" t="s">
        <v>84</v>
      </c>
      <c r="E32" s="17" t="s">
        <v>85</v>
      </c>
      <c r="F32" s="17" t="s">
        <v>86</v>
      </c>
      <c r="G32" s="17" t="s">
        <v>72</v>
      </c>
      <c r="H32" s="17" t="s">
        <v>87</v>
      </c>
      <c r="I32" s="17" t="s">
        <v>88</v>
      </c>
      <c r="J32" s="17" t="s">
        <v>89</v>
      </c>
      <c r="K32" s="17" t="s">
        <v>90</v>
      </c>
    </row>
    <row r="33" customFormat="false" ht="15" hidden="false" customHeight="false" outlineLevel="0" collapsed="false">
      <c r="A33" s="18" t="n">
        <v>0</v>
      </c>
      <c r="B33" s="14" t="n">
        <f aca="false">A33*CAR_HRS*WEEKS*(1+CAR_DIM)^A33</f>
        <v>0</v>
      </c>
      <c r="C33" s="14" t="n">
        <f aca="false">MIN(B33,OWN_HRS)</f>
        <v>0</v>
      </c>
      <c r="D33" s="14" t="n">
        <f aca="false">MAX(B33-OWN_HRS,0)</f>
        <v>0</v>
      </c>
      <c r="E33" s="11" t="n">
        <f aca="false">C33*OWN_RATE+D33*WORKER_RATE</f>
        <v>0</v>
      </c>
      <c r="F33" s="11" t="n">
        <f aca="false">IF(B33=0,0,E33/B33)</f>
        <v>0</v>
      </c>
      <c r="G33" s="11" t="n">
        <f aca="false">A33*CAR_FERT</f>
        <v>0</v>
      </c>
      <c r="H33" s="11" t="n">
        <f aca="false">E33+G33</f>
        <v>0</v>
      </c>
      <c r="I33" s="5" t="s">
        <v>91</v>
      </c>
      <c r="J33" s="11" t="n">
        <f aca="false">CAR_PRICE</f>
        <v>2094</v>
      </c>
      <c r="K33" s="5"/>
    </row>
    <row r="34" customFormat="false" ht="15" hidden="false" customHeight="false" outlineLevel="0" collapsed="false">
      <c r="A34" s="18" t="n">
        <v>1</v>
      </c>
      <c r="B34" s="14" t="n">
        <f aca="false">A34*CAR_HRS*WEEKS*(1+CAR_DIM)^A34</f>
        <v>30.7377</v>
      </c>
      <c r="C34" s="14" t="n">
        <f aca="false">MIN(B34,OWN_HRS)</f>
        <v>30.7377</v>
      </c>
      <c r="D34" s="14" t="n">
        <f aca="false">MAX(B34-OWN_HRS,0)</f>
        <v>0</v>
      </c>
      <c r="E34" s="11" t="n">
        <f aca="false">C34*OWN_RATE+D34*WORKER_RATE</f>
        <v>1067.212944</v>
      </c>
      <c r="F34" s="11" t="n">
        <f aca="false">IF(B34=0,0,E34/B34)</f>
        <v>34.72</v>
      </c>
      <c r="G34" s="11" t="n">
        <f aca="false">A34*CAR_FERT</f>
        <v>440</v>
      </c>
      <c r="H34" s="11" t="n">
        <f aca="false">E34+G34</f>
        <v>1507.212944</v>
      </c>
      <c r="I34" s="11" t="n">
        <f aca="false">H34-H33</f>
        <v>1507.212944</v>
      </c>
      <c r="J34" s="11" t="n">
        <f aca="false">CAR_PRICE</f>
        <v>2094</v>
      </c>
      <c r="K34" s="18" t="n">
        <f aca="false">IF(I34&gt;=CAR_PRICE,1,0)</f>
        <v>0</v>
      </c>
    </row>
    <row r="35" customFormat="false" ht="15" hidden="false" customHeight="false" outlineLevel="0" collapsed="false">
      <c r="A35" s="18" t="n">
        <v>2</v>
      </c>
      <c r="B35" s="14" t="n">
        <f aca="false">A35*CAR_HRS*WEEKS*(1+CAR_DIM)^A35</f>
        <v>63.012285</v>
      </c>
      <c r="C35" s="14" t="n">
        <f aca="false">MIN(B35,OWN_HRS)</f>
        <v>63.012285</v>
      </c>
      <c r="D35" s="14" t="n">
        <f aca="false">MAX(B35-OWN_HRS,0)</f>
        <v>0</v>
      </c>
      <c r="E35" s="11" t="n">
        <f aca="false">C35*OWN_RATE+D35*WORKER_RATE</f>
        <v>2187.7865352</v>
      </c>
      <c r="F35" s="11" t="n">
        <f aca="false">IF(B35=0,0,E35/B35)</f>
        <v>34.72</v>
      </c>
      <c r="G35" s="11" t="n">
        <f aca="false">A35*CAR_FERT</f>
        <v>880</v>
      </c>
      <c r="H35" s="11" t="n">
        <f aca="false">E35+G35</f>
        <v>3067.7865352</v>
      </c>
      <c r="I35" s="11" t="n">
        <f aca="false">H35-H34</f>
        <v>1560.5735912</v>
      </c>
      <c r="J35" s="11" t="n">
        <f aca="false">CAR_PRICE</f>
        <v>2094</v>
      </c>
      <c r="K35" s="18" t="n">
        <f aca="false">IF(I35&gt;=CAR_PRICE,1,0)</f>
        <v>0</v>
      </c>
    </row>
    <row r="36" customFormat="false" ht="15" hidden="false" customHeight="false" outlineLevel="0" collapsed="false">
      <c r="A36" s="18" t="n">
        <v>3</v>
      </c>
      <c r="B36" s="14" t="n">
        <f aca="false">A36*CAR_HRS*WEEKS*(1+CAR_DIM)^A36</f>
        <v>96.8813881875</v>
      </c>
      <c r="C36" s="14" t="n">
        <f aca="false">MIN(B36,OWN_HRS)</f>
        <v>96.8813881875</v>
      </c>
      <c r="D36" s="14" t="n">
        <f aca="false">MAX(B36-OWN_HRS,0)</f>
        <v>0</v>
      </c>
      <c r="E36" s="11" t="n">
        <f aca="false">C36*OWN_RATE+D36*WORKER_RATE</f>
        <v>3363.72179787</v>
      </c>
      <c r="F36" s="11" t="n">
        <f aca="false">IF(B36=0,0,E36/B36)</f>
        <v>34.72</v>
      </c>
      <c r="G36" s="11" t="n">
        <f aca="false">A36*CAR_FERT</f>
        <v>1320</v>
      </c>
      <c r="H36" s="11" t="n">
        <f aca="false">E36+G36</f>
        <v>4683.72179787</v>
      </c>
      <c r="I36" s="11" t="n">
        <f aca="false">H36-H35</f>
        <v>1615.93526267</v>
      </c>
      <c r="J36" s="11" t="n">
        <f aca="false">CAR_PRICE</f>
        <v>2094</v>
      </c>
      <c r="K36" s="18" t="n">
        <f aca="false">IF(I36&gt;=CAR_PRICE,1,0)</f>
        <v>0</v>
      </c>
    </row>
    <row r="37" customFormat="false" ht="15" hidden="false" customHeight="false" outlineLevel="0" collapsed="false">
      <c r="A37" s="18" t="n">
        <v>4</v>
      </c>
      <c r="B37" s="14" t="n">
        <f aca="false">A37*CAR_HRS*WEEKS*(1+CAR_DIM)^A37</f>
        <v>132.40456385625</v>
      </c>
      <c r="C37" s="14" t="n">
        <f aca="false">MIN(B37,OWN_HRS)</f>
        <v>132.40456385625</v>
      </c>
      <c r="D37" s="14" t="n">
        <f aca="false">MAX(B37-OWN_HRS,0)</f>
        <v>0</v>
      </c>
      <c r="E37" s="11" t="n">
        <f aca="false">C37*OWN_RATE+D37*WORKER_RATE</f>
        <v>4597.086457089</v>
      </c>
      <c r="F37" s="11" t="n">
        <f aca="false">IF(B37=0,0,E37/B37)</f>
        <v>34.72</v>
      </c>
      <c r="G37" s="11" t="n">
        <f aca="false">A37*CAR_FERT</f>
        <v>1760</v>
      </c>
      <c r="H37" s="11" t="n">
        <f aca="false">E37+G37</f>
        <v>6357.086457089</v>
      </c>
      <c r="I37" s="11" t="n">
        <f aca="false">H37-H36</f>
        <v>1673.364659219</v>
      </c>
      <c r="J37" s="11" t="n">
        <f aca="false">CAR_PRICE</f>
        <v>2094</v>
      </c>
      <c r="K37" s="18" t="n">
        <f aca="false">IF(I37&gt;=CAR_PRICE,1,0)</f>
        <v>0</v>
      </c>
    </row>
    <row r="38" customFormat="false" ht="15" hidden="false" customHeight="false" outlineLevel="0" collapsed="false">
      <c r="A38" s="18" t="n">
        <v>5</v>
      </c>
      <c r="B38" s="14" t="n">
        <f aca="false">A38*CAR_HRS*WEEKS*(1+CAR_DIM)^A38</f>
        <v>169.64334744082</v>
      </c>
      <c r="C38" s="14" t="n">
        <f aca="false">MIN(B38,OWN_HRS)</f>
        <v>169.64334744082</v>
      </c>
      <c r="D38" s="14" t="n">
        <f aca="false">MAX(B38-OWN_HRS,0)</f>
        <v>0</v>
      </c>
      <c r="E38" s="11" t="n">
        <f aca="false">C38*OWN_RATE+D38*WORKER_RATE</f>
        <v>5890.01702314528</v>
      </c>
      <c r="F38" s="11" t="n">
        <f aca="false">IF(B38=0,0,E38/B38)</f>
        <v>34.72</v>
      </c>
      <c r="G38" s="11" t="n">
        <f aca="false">A38*CAR_FERT</f>
        <v>2200</v>
      </c>
      <c r="H38" s="11" t="n">
        <f aca="false">E38+G38</f>
        <v>8090.01702314528</v>
      </c>
      <c r="I38" s="11" t="n">
        <f aca="false">H38-H37</f>
        <v>1732.93056605628</v>
      </c>
      <c r="J38" s="11" t="n">
        <f aca="false">CAR_PRICE</f>
        <v>2094</v>
      </c>
      <c r="K38" s="18" t="n">
        <f aca="false">IF(I38&gt;=CAR_PRICE,1,0)</f>
        <v>0</v>
      </c>
    </row>
    <row r="39" customFormat="false" ht="15" hidden="false" customHeight="false" outlineLevel="0" collapsed="false">
      <c r="A39" s="18" t="n">
        <v>6</v>
      </c>
      <c r="B39" s="14" t="n">
        <f aca="false">A39*CAR_HRS*WEEKS*(1+CAR_DIM)^A39</f>
        <v>208.661317352209</v>
      </c>
      <c r="C39" s="14" t="n">
        <f aca="false">MIN(B39,OWN_HRS)</f>
        <v>208.661317352209</v>
      </c>
      <c r="D39" s="14" t="n">
        <f aca="false">MAX(B39-OWN_HRS,0)</f>
        <v>0</v>
      </c>
      <c r="E39" s="11" t="n">
        <f aca="false">C39*OWN_RATE+D39*WORKER_RATE</f>
        <v>7244.72093846869</v>
      </c>
      <c r="F39" s="11" t="n">
        <f aca="false">IF(B39=0,0,E39/B39)</f>
        <v>34.72</v>
      </c>
      <c r="G39" s="11" t="n">
        <f aca="false">A39*CAR_FERT</f>
        <v>2640</v>
      </c>
      <c r="H39" s="11" t="n">
        <f aca="false">E39+G39</f>
        <v>9884.72093846869</v>
      </c>
      <c r="I39" s="11" t="n">
        <f aca="false">H39-H38</f>
        <v>1794.70391532341</v>
      </c>
      <c r="J39" s="11" t="n">
        <f aca="false">CAR_PRICE</f>
        <v>2094</v>
      </c>
      <c r="K39" s="18" t="n">
        <f aca="false">IF(I39&gt;=CAR_PRICE,1,0)</f>
        <v>0</v>
      </c>
    </row>
    <row r="40" customFormat="false" ht="15" hidden="false" customHeight="false" outlineLevel="0" collapsed="false">
      <c r="A40" s="18" t="n">
        <v>7</v>
      </c>
      <c r="B40" s="14" t="n">
        <f aca="false">A40*CAR_HRS*WEEKS*(1+CAR_DIM)^A40</f>
        <v>249.524158667016</v>
      </c>
      <c r="C40" s="14" t="n">
        <f aca="false">MIN(B40,OWN_HRS)</f>
        <v>249.524158667016</v>
      </c>
      <c r="D40" s="14" t="n">
        <f aca="false">MAX(B40-OWN_HRS,0)</f>
        <v>0</v>
      </c>
      <c r="E40" s="11" t="n">
        <f aca="false">C40*OWN_RATE+D40*WORKER_RATE</f>
        <v>8663.47878891881</v>
      </c>
      <c r="F40" s="11" t="n">
        <f aca="false">IF(B40=0,0,E40/B40)</f>
        <v>34.72</v>
      </c>
      <c r="G40" s="11" t="n">
        <f aca="false">A40*CAR_FERT</f>
        <v>3080</v>
      </c>
      <c r="H40" s="11" t="n">
        <f aca="false">E40+G40</f>
        <v>11743.4787889188</v>
      </c>
      <c r="I40" s="11" t="n">
        <f aca="false">H40-H39</f>
        <v>1858.75785045012</v>
      </c>
      <c r="J40" s="11" t="n">
        <f aca="false">CAR_PRICE</f>
        <v>2094</v>
      </c>
      <c r="K40" s="18" t="n">
        <f aca="false">IF(I40&gt;=CAR_PRICE,1,0)</f>
        <v>0</v>
      </c>
    </row>
    <row r="41" customFormat="false" ht="15" hidden="false" customHeight="false" outlineLevel="0" collapsed="false">
      <c r="A41" s="18" t="n">
        <v>8</v>
      </c>
      <c r="B41" s="14" t="n">
        <f aca="false">A41*CAR_HRS*WEEKS*(1+CAR_DIM)^A41</f>
        <v>292.299728724219</v>
      </c>
      <c r="C41" s="14" t="n">
        <f aca="false">MIN(B41,OWN_HRS)</f>
        <v>292.299728724219</v>
      </c>
      <c r="D41" s="14" t="n">
        <f aca="false">MAX(B41-OWN_HRS,0)</f>
        <v>0</v>
      </c>
      <c r="E41" s="11" t="n">
        <f aca="false">C41*OWN_RATE+D41*WORKER_RATE</f>
        <v>10148.6465813049</v>
      </c>
      <c r="F41" s="11" t="n">
        <f aca="false">IF(B41=0,0,E41/B41)</f>
        <v>34.72</v>
      </c>
      <c r="G41" s="11" t="n">
        <f aca="false">A41*CAR_FERT</f>
        <v>3520</v>
      </c>
      <c r="H41" s="11" t="n">
        <f aca="false">E41+G41</f>
        <v>13668.6465813049</v>
      </c>
      <c r="I41" s="11" t="n">
        <f aca="false">H41-H40</f>
        <v>1925.16779238608</v>
      </c>
      <c r="J41" s="11" t="n">
        <f aca="false">CAR_PRICE</f>
        <v>2094</v>
      </c>
      <c r="K41" s="18" t="n">
        <f aca="false">IF(I41&gt;=CAR_PRICE,1,0)</f>
        <v>0</v>
      </c>
    </row>
    <row r="42" customFormat="false" ht="15" hidden="false" customHeight="false" outlineLevel="0" collapsed="false">
      <c r="A42" s="18" t="n">
        <v>9</v>
      </c>
      <c r="B42" s="14" t="n">
        <f aca="false">A42*CAR_HRS*WEEKS*(1+CAR_DIM)^A42</f>
        <v>337.058124685115</v>
      </c>
      <c r="C42" s="14" t="n">
        <f aca="false">MIN(B42,OWN_HRS)</f>
        <v>337.058124685115</v>
      </c>
      <c r="D42" s="14" t="n">
        <f aca="false">MAX(B42-OWN_HRS,0)</f>
        <v>0</v>
      </c>
      <c r="E42" s="11" t="n">
        <f aca="false">C42*OWN_RATE+D42*WORKER_RATE</f>
        <v>11702.6580890672</v>
      </c>
      <c r="F42" s="11" t="n">
        <f aca="false">IF(B42=0,0,E42/B42)</f>
        <v>34.72</v>
      </c>
      <c r="G42" s="11" t="n">
        <f aca="false">A42*CAR_FERT</f>
        <v>3960</v>
      </c>
      <c r="H42" s="11" t="n">
        <f aca="false">E42+G42</f>
        <v>15662.6580890672</v>
      </c>
      <c r="I42" s="11" t="n">
        <f aca="false">H42-H41</f>
        <v>1994.01150776231</v>
      </c>
      <c r="J42" s="11" t="n">
        <f aca="false">CAR_PRICE</f>
        <v>2094</v>
      </c>
      <c r="K42" s="18" t="n">
        <f aca="false">IF(I42&gt;=CAR_PRICE,1,0)</f>
        <v>0</v>
      </c>
    </row>
    <row r="43" customFormat="false" ht="15" hidden="false" customHeight="false" outlineLevel="0" collapsed="false">
      <c r="A43" s="18" t="n">
        <v>10</v>
      </c>
      <c r="B43" s="14" t="n">
        <f aca="false">A43*CAR_HRS*WEEKS*(1+CAR_DIM)^A43</f>
        <v>383.871753113603</v>
      </c>
      <c r="C43" s="14" t="n">
        <f aca="false">MIN(B43,OWN_HRS)</f>
        <v>383.871753113603</v>
      </c>
      <c r="D43" s="14" t="n">
        <f aca="false">MAX(B43-OWN_HRS,0)</f>
        <v>0</v>
      </c>
      <c r="E43" s="11" t="n">
        <f aca="false">C43*OWN_RATE+D43*WORKER_RATE</f>
        <v>13328.0272681043</v>
      </c>
      <c r="F43" s="11" t="n">
        <f aca="false">IF(B43=0,0,E43/B43)</f>
        <v>34.72</v>
      </c>
      <c r="G43" s="11" t="n">
        <f aca="false">A43*CAR_FERT</f>
        <v>4400</v>
      </c>
      <c r="H43" s="11" t="n">
        <f aca="false">E43+G43</f>
        <v>17728.0272681043</v>
      </c>
      <c r="I43" s="11" t="n">
        <f aca="false">H43-H42</f>
        <v>2065.36917903711</v>
      </c>
      <c r="J43" s="11" t="n">
        <f aca="false">CAR_PRICE</f>
        <v>2094</v>
      </c>
      <c r="K43" s="18" t="n">
        <f aca="false">IF(I43&gt;=CAR_PRICE,1,0)</f>
        <v>0</v>
      </c>
    </row>
    <row r="44" customFormat="false" ht="15" hidden="false" customHeight="false" outlineLevel="0" collapsed="false">
      <c r="A44" s="18" t="n">
        <v>11</v>
      </c>
      <c r="B44" s="14" t="n">
        <f aca="false">A44*CAR_HRS*WEEKS*(1+CAR_DIM)^A44</f>
        <v>432.815401635588</v>
      </c>
      <c r="C44" s="14" t="n">
        <f aca="false">MIN(B44,OWN_HRS)</f>
        <v>432.815401635588</v>
      </c>
      <c r="D44" s="14" t="n">
        <f aca="false">MAX(B44-OWN_HRS,0)</f>
        <v>0</v>
      </c>
      <c r="E44" s="11" t="n">
        <f aca="false">C44*OWN_RATE+D44*WORKER_RATE</f>
        <v>15027.3507447876</v>
      </c>
      <c r="F44" s="11" t="n">
        <f aca="false">IF(B44=0,0,E44/B44)</f>
        <v>34.72</v>
      </c>
      <c r="G44" s="11" t="n">
        <f aca="false">A44*CAR_FERT</f>
        <v>4840</v>
      </c>
      <c r="H44" s="11" t="n">
        <f aca="false">E44+G44</f>
        <v>19867.3507447876</v>
      </c>
      <c r="I44" s="11" t="n">
        <f aca="false">H44-H43</f>
        <v>2139.3234766833</v>
      </c>
      <c r="J44" s="11" t="n">
        <f aca="false">CAR_PRICE</f>
        <v>2094</v>
      </c>
      <c r="K44" s="18" t="n">
        <f aca="false">IF(I44&gt;=CAR_PRICE,1,0)</f>
        <v>1</v>
      </c>
    </row>
    <row r="45" customFormat="false" ht="15" hidden="false" customHeight="false" outlineLevel="0" collapsed="false">
      <c r="A45" s="18" t="n">
        <v>12</v>
      </c>
      <c r="B45" s="14" t="n">
        <f aca="false">A45*CAR_HRS*WEEKS*(1+CAR_DIM)^A45</f>
        <v>483.966312737975</v>
      </c>
      <c r="C45" s="14" t="n">
        <f aca="false">MIN(B45,OWN_HRS)</f>
        <v>483.966312737975</v>
      </c>
      <c r="D45" s="14" t="n">
        <f aca="false">MAX(B45-OWN_HRS,0)</f>
        <v>0</v>
      </c>
      <c r="E45" s="11" t="n">
        <f aca="false">C45*OWN_RATE+D45*WORKER_RATE</f>
        <v>16803.3103782625</v>
      </c>
      <c r="F45" s="11" t="n">
        <f aca="false">IF(B45=0,0,E45/B45)</f>
        <v>34.72</v>
      </c>
      <c r="G45" s="11" t="n">
        <f aca="false">A45*CAR_FERT</f>
        <v>5280</v>
      </c>
      <c r="H45" s="11" t="n">
        <f aca="false">E45+G45</f>
        <v>22083.3103782625</v>
      </c>
      <c r="I45" s="11" t="n">
        <f aca="false">H45-H44</f>
        <v>2215.95963347489</v>
      </c>
      <c r="J45" s="11" t="n">
        <f aca="false">CAR_PRICE</f>
        <v>2094</v>
      </c>
      <c r="K45" s="18" t="n">
        <f aca="false">IF(I45&gt;=CAR_PRICE,1,0)</f>
        <v>1</v>
      </c>
    </row>
    <row r="46" customFormat="false" ht="15" hidden="false" customHeight="false" outlineLevel="0" collapsed="false">
      <c r="A46" s="18" t="n">
        <v>13</v>
      </c>
      <c r="B46" s="14" t="n">
        <f aca="false">A46*CAR_HRS*WEEKS*(1+CAR_DIM)^A46</f>
        <v>537.40425976946</v>
      </c>
      <c r="C46" s="14" t="n">
        <f aca="false">MIN(B46,OWN_HRS)</f>
        <v>537.40425976946</v>
      </c>
      <c r="D46" s="14" t="n">
        <f aca="false">MAX(B46-OWN_HRS,0)</f>
        <v>0</v>
      </c>
      <c r="E46" s="11" t="n">
        <f aca="false">C46*OWN_RATE+D46*WORKER_RATE</f>
        <v>18658.6758991957</v>
      </c>
      <c r="F46" s="11" t="n">
        <f aca="false">IF(B46=0,0,E46/B46)</f>
        <v>34.72</v>
      </c>
      <c r="G46" s="11" t="n">
        <f aca="false">A46*CAR_FERT</f>
        <v>5720</v>
      </c>
      <c r="H46" s="11" t="n">
        <f aca="false">E46+G46</f>
        <v>24378.6758991957</v>
      </c>
      <c r="I46" s="11" t="n">
        <f aca="false">H46-H45</f>
        <v>2295.36552093315</v>
      </c>
      <c r="J46" s="11" t="n">
        <f aca="false">CAR_PRICE</f>
        <v>2094</v>
      </c>
      <c r="K46" s="18" t="n">
        <f aca="false">IF(I46&gt;=CAR_PRICE,1,0)</f>
        <v>1</v>
      </c>
    </row>
    <row r="47" customFormat="false" ht="15" hidden="false" customHeight="false" outlineLevel="0" collapsed="false">
      <c r="A47" s="18" t="n">
        <v>14</v>
      </c>
      <c r="B47" s="14" t="n">
        <f aca="false">A47*CAR_HRS*WEEKS*(1+CAR_DIM)^A47</f>
        <v>593.211625207058</v>
      </c>
      <c r="C47" s="14" t="n">
        <f aca="false">MIN(B47,OWN_HRS)</f>
        <v>593.211625207058</v>
      </c>
      <c r="D47" s="14" t="n">
        <f aca="false">MAX(B47-OWN_HRS,0)</f>
        <v>0</v>
      </c>
      <c r="E47" s="11" t="n">
        <f aca="false">C47*OWN_RATE+D47*WORKER_RATE</f>
        <v>20596.3076271891</v>
      </c>
      <c r="F47" s="11" t="n">
        <f aca="false">IF(B47=0,0,E47/B47)</f>
        <v>34.72</v>
      </c>
      <c r="G47" s="11" t="n">
        <f aca="false">A47*CAR_FERT</f>
        <v>6160</v>
      </c>
      <c r="H47" s="11" t="n">
        <f aca="false">E47+G47</f>
        <v>26756.3076271891</v>
      </c>
      <c r="I47" s="11" t="n">
        <f aca="false">H47-H46</f>
        <v>2377.6317279934</v>
      </c>
      <c r="J47" s="11" t="n">
        <f aca="false">CAR_PRICE</f>
        <v>2094</v>
      </c>
      <c r="K47" s="18" t="n">
        <f aca="false">IF(I47&gt;=CAR_PRICE,1,0)</f>
        <v>1</v>
      </c>
    </row>
    <row r="48" customFormat="false" ht="15" hidden="false" customHeight="false" outlineLevel="0" collapsed="false">
      <c r="A48" s="18" t="n">
        <v>15</v>
      </c>
      <c r="B48" s="14" t="n">
        <f aca="false">A48*CAR_HRS*WEEKS*(1+CAR_DIM)^A48</f>
        <v>651.47348125418</v>
      </c>
      <c r="C48" s="14" t="n">
        <f aca="false">MIN(B48,OWN_HRS)</f>
        <v>651.47348125418</v>
      </c>
      <c r="D48" s="14" t="n">
        <f aca="false">MAX(B48-OWN_HRS,0)</f>
        <v>0</v>
      </c>
      <c r="E48" s="11" t="n">
        <f aca="false">C48*OWN_RATE+D48*WORKER_RATE</f>
        <v>22619.1592691451</v>
      </c>
      <c r="F48" s="11" t="n">
        <f aca="false">IF(B48=0,0,E48/B48)</f>
        <v>34.72</v>
      </c>
      <c r="G48" s="11" t="n">
        <f aca="false">A48*CAR_FERT</f>
        <v>6600</v>
      </c>
      <c r="H48" s="11" t="n">
        <f aca="false">E48+G48</f>
        <v>29219.1592691451</v>
      </c>
      <c r="I48" s="11" t="n">
        <f aca="false">H48-H47</f>
        <v>2462.85164195607</v>
      </c>
      <c r="J48" s="11" t="n">
        <f aca="false">CAR_PRICE</f>
        <v>2094</v>
      </c>
      <c r="K48" s="18" t="n">
        <f aca="false">IF(I48&gt;=CAR_PRICE,1,0)</f>
        <v>1</v>
      </c>
    </row>
    <row r="49" customFormat="false" ht="15" hidden="false" customHeight="false" outlineLevel="0" collapsed="false">
      <c r="A49" s="18" t="n">
        <v>16</v>
      </c>
      <c r="B49" s="14" t="n">
        <f aca="false">A49*CAR_HRS*WEEKS*(1+CAR_DIM)^A49</f>
        <v>712.277672837903</v>
      </c>
      <c r="C49" s="14" t="n">
        <f aca="false">MIN(B49,OWN_HRS)</f>
        <v>712.277672837903</v>
      </c>
      <c r="D49" s="14" t="n">
        <f aca="false">MAX(B49-OWN_HRS,0)</f>
        <v>0</v>
      </c>
      <c r="E49" s="11" t="n">
        <f aca="false">C49*OWN_RATE+D49*WORKER_RATE</f>
        <v>24730.280800932</v>
      </c>
      <c r="F49" s="11" t="n">
        <f aca="false">IF(B49=0,0,E49/B49)</f>
        <v>34.72</v>
      </c>
      <c r="G49" s="11" t="n">
        <f aca="false">A49*CAR_FERT</f>
        <v>7040</v>
      </c>
      <c r="H49" s="11" t="n">
        <f aca="false">E49+G49</f>
        <v>31770.280800932</v>
      </c>
      <c r="I49" s="11" t="n">
        <f aca="false">H49-H48</f>
        <v>2551.12153178687</v>
      </c>
      <c r="J49" s="11" t="n">
        <f aca="false">CAR_PRICE</f>
        <v>2094</v>
      </c>
      <c r="K49" s="18" t="n">
        <f aca="false">IF(I49&gt;=CAR_PRICE,1,0)</f>
        <v>1</v>
      </c>
    </row>
    <row r="50" customFormat="false" ht="15" hidden="false" customHeight="false" outlineLevel="0" collapsed="false">
      <c r="A50" s="18" t="n">
        <v>17</v>
      </c>
      <c r="B50" s="14" t="n">
        <f aca="false">A50*CAR_HRS*WEEKS*(1+CAR_DIM)^A50</f>
        <v>775.714903075029</v>
      </c>
      <c r="C50" s="14" t="n">
        <f aca="false">MIN(B50,OWN_HRS)</f>
        <v>720</v>
      </c>
      <c r="D50" s="14" t="n">
        <f aca="false">MAX(B50-OWN_HRS,0)</f>
        <v>55.7149030750287</v>
      </c>
      <c r="E50" s="11" t="n">
        <f aca="false">C50*OWN_RATE+D50*WORKER_RATE</f>
        <v>25965.6107173825</v>
      </c>
      <c r="F50" s="11" t="n">
        <f aca="false">IF(B50=0,0,E50/B50)</f>
        <v>33.473136347454</v>
      </c>
      <c r="G50" s="11" t="n">
        <f aca="false">A50*CAR_FERT</f>
        <v>7480</v>
      </c>
      <c r="H50" s="11" t="n">
        <f aca="false">E50+G50</f>
        <v>33445.6107173825</v>
      </c>
      <c r="I50" s="11" t="n">
        <f aca="false">H50-H49</f>
        <v>1675.32991645051</v>
      </c>
      <c r="J50" s="11" t="n">
        <f aca="false">CAR_PRICE</f>
        <v>2094</v>
      </c>
      <c r="K50" s="18" t="n">
        <f aca="false">IF(I50&gt;=CAR_PRICE,1,0)</f>
        <v>0</v>
      </c>
    </row>
    <row r="51" customFormat="false" ht="15" hidden="false" customHeight="false" outlineLevel="0" collapsed="false">
      <c r="A51" s="18" t="n">
        <v>18</v>
      </c>
      <c r="B51" s="14" t="n">
        <f aca="false">A51*CAR_HRS*WEEKS*(1+CAR_DIM)^A51</f>
        <v>841.878821278487</v>
      </c>
      <c r="C51" s="14" t="n">
        <f aca="false">MIN(B51,OWN_HRS)</f>
        <v>720</v>
      </c>
      <c r="D51" s="14" t="n">
        <f aca="false">MAX(B51-OWN_HRS,0)</f>
        <v>121.878821278487</v>
      </c>
      <c r="E51" s="11" t="n">
        <f aca="false">C51*OWN_RATE+D51*WORKER_RATE</f>
        <v>27114.2163373945</v>
      </c>
      <c r="F51" s="11" t="n">
        <f aca="false">IF(B51=0,0,E51/B51)</f>
        <v>32.2067922984671</v>
      </c>
      <c r="G51" s="11" t="n">
        <f aca="false">A51*CAR_FERT</f>
        <v>7920</v>
      </c>
      <c r="H51" s="11" t="n">
        <f aca="false">E51+G51</f>
        <v>35034.2163373945</v>
      </c>
      <c r="I51" s="11" t="n">
        <f aca="false">H51-H50</f>
        <v>1588.60562001203</v>
      </c>
      <c r="J51" s="11" t="n">
        <f aca="false">CAR_PRICE</f>
        <v>2094</v>
      </c>
      <c r="K51" s="18" t="n">
        <f aca="false">IF(I51&gt;=CAR_PRICE,1,0)</f>
        <v>0</v>
      </c>
    </row>
    <row r="52" customFormat="false" ht="15" hidden="false" customHeight="false" outlineLevel="0" collapsed="false">
      <c r="A52" s="18" t="n">
        <v>19</v>
      </c>
      <c r="B52" s="14" t="n">
        <f aca="false">A52*CAR_HRS*WEEKS*(1+CAR_DIM)^A52</f>
        <v>910.866113577696</v>
      </c>
      <c r="C52" s="14" t="n">
        <f aca="false">MIN(B52,OWN_HRS)</f>
        <v>720</v>
      </c>
      <c r="D52" s="14" t="n">
        <f aca="false">MAX(B52-OWN_HRS,0)</f>
        <v>190.866113577696</v>
      </c>
      <c r="E52" s="11" t="n">
        <f aca="false">C52*OWN_RATE+D52*WORKER_RATE</f>
        <v>28311.8357317088</v>
      </c>
      <c r="F52" s="11" t="n">
        <f aca="false">IF(B52=0,0,E52/B52)</f>
        <v>31.082324075605</v>
      </c>
      <c r="G52" s="11" t="n">
        <f aca="false">A52*CAR_FERT</f>
        <v>8360</v>
      </c>
      <c r="H52" s="11" t="n">
        <f aca="false">E52+G52</f>
        <v>36671.8357317088</v>
      </c>
      <c r="I52" s="11" t="n">
        <f aca="false">H52-H51</f>
        <v>1637.61939431428</v>
      </c>
      <c r="J52" s="11" t="n">
        <f aca="false">CAR_PRICE</f>
        <v>2094</v>
      </c>
      <c r="K52" s="18" t="n">
        <f aca="false">IF(I52&gt;=CAR_PRICE,1,0)</f>
        <v>0</v>
      </c>
    </row>
    <row r="53" customFormat="false" ht="15" hidden="false" customHeight="false" outlineLevel="0" collapsed="false">
      <c r="A53" s="18" t="n">
        <v>20</v>
      </c>
      <c r="B53" s="14" t="n">
        <f aca="false">A53*CAR_HRS*WEEKS*(1+CAR_DIM)^A53</f>
        <v>982.776596228567</v>
      </c>
      <c r="C53" s="14" t="n">
        <f aca="false">MIN(B53,OWN_HRS)</f>
        <v>720</v>
      </c>
      <c r="D53" s="14" t="n">
        <f aca="false">MAX(B53-OWN_HRS,0)</f>
        <v>262.776596228567</v>
      </c>
      <c r="E53" s="11" t="n">
        <f aca="false">C53*OWN_RATE+D53*WORKER_RATE</f>
        <v>29560.2017105279</v>
      </c>
      <c r="F53" s="11" t="n">
        <f aca="false">IF(B53=0,0,E53/B53)</f>
        <v>30.0782515822681</v>
      </c>
      <c r="G53" s="11" t="n">
        <f aca="false">A53*CAR_FERT</f>
        <v>8800</v>
      </c>
      <c r="H53" s="11" t="n">
        <f aca="false">E53+G53</f>
        <v>38360.2017105279</v>
      </c>
      <c r="I53" s="11" t="n">
        <f aca="false">H53-H52</f>
        <v>1688.36597881911</v>
      </c>
      <c r="J53" s="11" t="n">
        <f aca="false">CAR_PRICE</f>
        <v>2094</v>
      </c>
      <c r="K53" s="18" t="n">
        <f aca="false">IF(I53&gt;=CAR_PRICE,1,0)</f>
        <v>0</v>
      </c>
    </row>
    <row r="55" customFormat="false" ht="15" hidden="false" customHeight="false" outlineLevel="0" collapsed="false">
      <c r="A55" s="3" t="s">
        <v>94</v>
      </c>
      <c r="B55" s="19" t="n">
        <f aca="false">IF(ISNA(MATCH(1,'Marginal Cost Schedules'!$K$34:$K$53,0)),CAR_CAP,MATCH(1,'Marginal Cost Schedules'!$K$34:$K$53,0)-1)</f>
        <v>10</v>
      </c>
    </row>
    <row r="58" customFormat="false" ht="15" hidden="false" customHeight="false" outlineLevel="0" collapsed="false">
      <c r="A58" s="9" t="s">
        <v>69</v>
      </c>
    </row>
    <row r="59" customFormat="false" ht="26.85" hidden="false" customHeight="false" outlineLevel="0" collapsed="false">
      <c r="A59" s="17" t="s">
        <v>81</v>
      </c>
      <c r="B59" s="17" t="s">
        <v>82</v>
      </c>
      <c r="C59" s="17" t="s">
        <v>83</v>
      </c>
      <c r="D59" s="17" t="s">
        <v>84</v>
      </c>
      <c r="E59" s="17" t="s">
        <v>85</v>
      </c>
      <c r="F59" s="17" t="s">
        <v>86</v>
      </c>
      <c r="G59" s="17" t="s">
        <v>72</v>
      </c>
      <c r="H59" s="17" t="s">
        <v>87</v>
      </c>
      <c r="I59" s="17" t="s">
        <v>88</v>
      </c>
      <c r="J59" s="17" t="s">
        <v>89</v>
      </c>
      <c r="K59" s="17" t="s">
        <v>90</v>
      </c>
    </row>
    <row r="60" customFormat="false" ht="15" hidden="false" customHeight="false" outlineLevel="0" collapsed="false">
      <c r="A60" s="18" t="n">
        <v>0</v>
      </c>
      <c r="B60" s="14" t="n">
        <f aca="false">A60*MES_HRS*WEEKS*(1+MES_DIM)^A60</f>
        <v>0</v>
      </c>
      <c r="C60" s="14" t="n">
        <f aca="false">MIN(B60,OWN_HRS)</f>
        <v>0</v>
      </c>
      <c r="D60" s="14" t="n">
        <f aca="false">MAX(B60-OWN_HRS,0)</f>
        <v>0</v>
      </c>
      <c r="E60" s="11" t="n">
        <f aca="false">C60*OWN_RATE+D60*WORKER_RATE</f>
        <v>0</v>
      </c>
      <c r="F60" s="11" t="n">
        <f aca="false">IF(B60=0,0,E60/B60)</f>
        <v>0</v>
      </c>
      <c r="G60" s="11" t="n">
        <f aca="false">A60*MES_FERT</f>
        <v>0</v>
      </c>
      <c r="H60" s="11" t="n">
        <f aca="false">E60+G60</f>
        <v>0</v>
      </c>
      <c r="I60" s="5" t="s">
        <v>91</v>
      </c>
      <c r="J60" s="11" t="n">
        <f aca="false">MES_PRICE</f>
        <v>2700</v>
      </c>
      <c r="K60" s="5"/>
    </row>
    <row r="61" customFormat="false" ht="15" hidden="false" customHeight="false" outlineLevel="0" collapsed="false">
      <c r="A61" s="18" t="n">
        <v>1</v>
      </c>
      <c r="B61" s="14" t="n">
        <f aca="false">A61*MES_HRS*WEEKS*(1+MES_DIM)^A61</f>
        <v>45.5625</v>
      </c>
      <c r="C61" s="14" t="n">
        <f aca="false">MIN(B61,OWN_HRS)</f>
        <v>45.5625</v>
      </c>
      <c r="D61" s="14" t="n">
        <f aca="false">MAX(B61-OWN_HRS,0)</f>
        <v>0</v>
      </c>
      <c r="E61" s="11" t="n">
        <f aca="false">C61*OWN_RATE+D61*WORKER_RATE</f>
        <v>1581.93</v>
      </c>
      <c r="F61" s="11" t="n">
        <f aca="false">IF(B61=0,0,E61/B61)</f>
        <v>34.72</v>
      </c>
      <c r="G61" s="11" t="n">
        <f aca="false">A61*MES_FERT</f>
        <v>880</v>
      </c>
      <c r="H61" s="11" t="n">
        <f aca="false">E61+G61</f>
        <v>2461.93</v>
      </c>
      <c r="I61" s="11" t="n">
        <f aca="false">H61-H60</f>
        <v>2461.93</v>
      </c>
      <c r="J61" s="11" t="n">
        <f aca="false">MES_PRICE</f>
        <v>2700</v>
      </c>
      <c r="K61" s="18" t="n">
        <f aca="false">IF(I61&gt;=MES_PRICE,1,0)</f>
        <v>0</v>
      </c>
    </row>
    <row r="62" customFormat="false" ht="15" hidden="false" customHeight="false" outlineLevel="0" collapsed="false">
      <c r="A62" s="18" t="n">
        <v>2</v>
      </c>
      <c r="B62" s="14" t="n">
        <f aca="false">A62*MES_HRS*WEEKS*(1+MES_DIM)^A62</f>
        <v>92.2640625</v>
      </c>
      <c r="C62" s="14" t="n">
        <f aca="false">MIN(B62,OWN_HRS)</f>
        <v>92.2640625</v>
      </c>
      <c r="D62" s="14" t="n">
        <f aca="false">MAX(B62-OWN_HRS,0)</f>
        <v>0</v>
      </c>
      <c r="E62" s="11" t="n">
        <f aca="false">C62*OWN_RATE+D62*WORKER_RATE</f>
        <v>3203.40825</v>
      </c>
      <c r="F62" s="11" t="n">
        <f aca="false">IF(B62=0,0,E62/B62)</f>
        <v>34.72</v>
      </c>
      <c r="G62" s="11" t="n">
        <f aca="false">A62*MES_FERT</f>
        <v>1760</v>
      </c>
      <c r="H62" s="11" t="n">
        <f aca="false">E62+G62</f>
        <v>4963.40825</v>
      </c>
      <c r="I62" s="11" t="n">
        <f aca="false">H62-H61</f>
        <v>2501.47825</v>
      </c>
      <c r="J62" s="11" t="n">
        <f aca="false">MES_PRICE</f>
        <v>2700</v>
      </c>
      <c r="K62" s="18" t="n">
        <f aca="false">IF(I62&gt;=MES_PRICE,1,0)</f>
        <v>0</v>
      </c>
    </row>
    <row r="63" customFormat="false" ht="15" hidden="false" customHeight="false" outlineLevel="0" collapsed="false">
      <c r="A63" s="18" t="n">
        <v>3</v>
      </c>
      <c r="B63" s="14" t="n">
        <f aca="false">A63*MES_HRS*WEEKS*(1+MES_DIM)^A63</f>
        <v>140.126044921875</v>
      </c>
      <c r="C63" s="14" t="n">
        <f aca="false">MIN(B63,OWN_HRS)</f>
        <v>140.126044921875</v>
      </c>
      <c r="D63" s="14" t="n">
        <f aca="false">MAX(B63-OWN_HRS,0)</f>
        <v>0</v>
      </c>
      <c r="E63" s="11" t="n">
        <f aca="false">C63*OWN_RATE+D63*WORKER_RATE</f>
        <v>4865.1762796875</v>
      </c>
      <c r="F63" s="11" t="n">
        <f aca="false">IF(B63=0,0,E63/B63)</f>
        <v>34.72</v>
      </c>
      <c r="G63" s="11" t="n">
        <f aca="false">A63*MES_FERT</f>
        <v>2640</v>
      </c>
      <c r="H63" s="11" t="n">
        <f aca="false">E63+G63</f>
        <v>7505.1762796875</v>
      </c>
      <c r="I63" s="11" t="n">
        <f aca="false">H63-H62</f>
        <v>2541.7680296875</v>
      </c>
      <c r="J63" s="11" t="n">
        <f aca="false">MES_PRICE</f>
        <v>2700</v>
      </c>
      <c r="K63" s="18" t="n">
        <f aca="false">IF(I63&gt;=MES_PRICE,1,0)</f>
        <v>0</v>
      </c>
    </row>
    <row r="64" customFormat="false" ht="15" hidden="false" customHeight="false" outlineLevel="0" collapsed="false">
      <c r="A64" s="18" t="n">
        <v>4</v>
      </c>
      <c r="B64" s="14" t="n">
        <f aca="false">A64*MES_HRS*WEEKS*(1+MES_DIM)^A64</f>
        <v>189.170160644531</v>
      </c>
      <c r="C64" s="14" t="n">
        <f aca="false">MIN(B64,OWN_HRS)</f>
        <v>189.170160644531</v>
      </c>
      <c r="D64" s="14" t="n">
        <f aca="false">MAX(B64-OWN_HRS,0)</f>
        <v>0</v>
      </c>
      <c r="E64" s="11" t="n">
        <f aca="false">C64*OWN_RATE+D64*WORKER_RATE</f>
        <v>6567.98797757812</v>
      </c>
      <c r="F64" s="11" t="n">
        <f aca="false">IF(B64=0,0,E64/B64)</f>
        <v>34.72</v>
      </c>
      <c r="G64" s="11" t="n">
        <f aca="false">A64*MES_FERT</f>
        <v>3520</v>
      </c>
      <c r="H64" s="11" t="n">
        <f aca="false">E64+G64</f>
        <v>10087.9879775781</v>
      </c>
      <c r="I64" s="11" t="n">
        <f aca="false">H64-H63</f>
        <v>2582.81169789062</v>
      </c>
      <c r="J64" s="11" t="n">
        <f aca="false">MES_PRICE</f>
        <v>2700</v>
      </c>
      <c r="K64" s="18" t="n">
        <f aca="false">IF(I64&gt;=MES_PRICE,1,0)</f>
        <v>0</v>
      </c>
    </row>
    <row r="65" customFormat="false" ht="15" hidden="false" customHeight="false" outlineLevel="0" collapsed="false">
      <c r="A65" s="18" t="n">
        <v>5</v>
      </c>
      <c r="B65" s="14" t="n">
        <f aca="false">A65*MES_HRS*WEEKS*(1+MES_DIM)^A65</f>
        <v>239.418484565735</v>
      </c>
      <c r="C65" s="14" t="n">
        <f aca="false">MIN(B65,OWN_HRS)</f>
        <v>239.418484565735</v>
      </c>
      <c r="D65" s="14" t="n">
        <f aca="false">MAX(B65-OWN_HRS,0)</f>
        <v>0</v>
      </c>
      <c r="E65" s="11" t="n">
        <f aca="false">C65*OWN_RATE+D65*WORKER_RATE</f>
        <v>8312.60978412231</v>
      </c>
      <c r="F65" s="11" t="n">
        <f aca="false">IF(B65=0,0,E65/B65)</f>
        <v>34.72</v>
      </c>
      <c r="G65" s="11" t="n">
        <f aca="false">A65*MES_FERT</f>
        <v>4400</v>
      </c>
      <c r="H65" s="11" t="n">
        <f aca="false">E65+G65</f>
        <v>12712.6097841223</v>
      </c>
      <c r="I65" s="11" t="n">
        <f aca="false">H65-H64</f>
        <v>2624.62180654419</v>
      </c>
      <c r="J65" s="11" t="n">
        <f aca="false">MES_PRICE</f>
        <v>2700</v>
      </c>
      <c r="K65" s="18" t="n">
        <f aca="false">IF(I65&gt;=MES_PRICE,1,0)</f>
        <v>0</v>
      </c>
    </row>
    <row r="66" customFormat="false" ht="15" hidden="false" customHeight="false" outlineLevel="0" collapsed="false">
      <c r="A66" s="18" t="n">
        <v>6</v>
      </c>
      <c r="B66" s="14" t="n">
        <f aca="false">A66*MES_HRS*WEEKS*(1+MES_DIM)^A66</f>
        <v>290.893458747368</v>
      </c>
      <c r="C66" s="14" t="n">
        <f aca="false">MIN(B66,OWN_HRS)</f>
        <v>290.893458747368</v>
      </c>
      <c r="D66" s="14" t="n">
        <f aca="false">MAX(B66-OWN_HRS,0)</f>
        <v>0</v>
      </c>
      <c r="E66" s="11" t="n">
        <f aca="false">C66*OWN_RATE+D66*WORKER_RATE</f>
        <v>10099.8208877086</v>
      </c>
      <c r="F66" s="11" t="n">
        <f aca="false">IF(B66=0,0,E66/B66)</f>
        <v>34.72</v>
      </c>
      <c r="G66" s="11" t="n">
        <f aca="false">A66*MES_FERT</f>
        <v>5280</v>
      </c>
      <c r="H66" s="11" t="n">
        <f aca="false">E66+G66</f>
        <v>15379.8208877086</v>
      </c>
      <c r="I66" s="11" t="n">
        <f aca="false">H66-H65</f>
        <v>2667.21110358629</v>
      </c>
      <c r="J66" s="11" t="n">
        <f aca="false">MES_PRICE</f>
        <v>2700</v>
      </c>
      <c r="K66" s="18" t="n">
        <f aca="false">IF(I66&gt;=MES_PRICE,1,0)</f>
        <v>0</v>
      </c>
    </row>
    <row r="67" customFormat="false" ht="15" hidden="false" customHeight="false" outlineLevel="0" collapsed="false">
      <c r="A67" s="18" t="n">
        <v>7</v>
      </c>
      <c r="B67" s="14" t="n">
        <f aca="false">A67*MES_HRS*WEEKS*(1+MES_DIM)^A67</f>
        <v>343.617898145328</v>
      </c>
      <c r="C67" s="14" t="n">
        <f aca="false">MIN(B67,OWN_HRS)</f>
        <v>343.617898145328</v>
      </c>
      <c r="D67" s="14" t="n">
        <f aca="false">MAX(B67-OWN_HRS,0)</f>
        <v>0</v>
      </c>
      <c r="E67" s="11" t="n">
        <f aca="false">C67*OWN_RATE+D67*WORKER_RATE</f>
        <v>11930.4134236058</v>
      </c>
      <c r="F67" s="11" t="n">
        <f aca="false">IF(B67=0,0,E67/B67)</f>
        <v>34.72</v>
      </c>
      <c r="G67" s="11" t="n">
        <f aca="false">A67*MES_FERT</f>
        <v>6160</v>
      </c>
      <c r="H67" s="11" t="n">
        <f aca="false">E67+G67</f>
        <v>18090.4134236058</v>
      </c>
      <c r="I67" s="11" t="n">
        <f aca="false">H67-H66</f>
        <v>2710.59253589719</v>
      </c>
      <c r="J67" s="11" t="n">
        <f aca="false">MES_PRICE</f>
        <v>2700</v>
      </c>
      <c r="K67" s="18" t="n">
        <f aca="false">IF(I67&gt;=MES_PRICE,1,0)</f>
        <v>1</v>
      </c>
    </row>
    <row r="68" customFormat="false" ht="15" hidden="false" customHeight="false" outlineLevel="0" collapsed="false">
      <c r="A68" s="18" t="n">
        <v>8</v>
      </c>
      <c r="B68" s="14" t="n">
        <f aca="false">A68*MES_HRS*WEEKS*(1+MES_DIM)^A68</f>
        <v>397.614996425308</v>
      </c>
      <c r="C68" s="14" t="n">
        <f aca="false">MIN(B68,OWN_HRS)</f>
        <v>397.614996425308</v>
      </c>
      <c r="D68" s="14" t="n">
        <f aca="false">MAX(B68-OWN_HRS,0)</f>
        <v>0</v>
      </c>
      <c r="E68" s="11" t="n">
        <f aca="false">C68*OWN_RATE+D68*WORKER_RATE</f>
        <v>13805.1926758867</v>
      </c>
      <c r="F68" s="11" t="n">
        <f aca="false">IF(B68=0,0,E68/B68)</f>
        <v>34.72</v>
      </c>
      <c r="G68" s="11" t="n">
        <f aca="false">A68*MES_FERT</f>
        <v>7040</v>
      </c>
      <c r="H68" s="11" t="n">
        <f aca="false">E68+G68</f>
        <v>20845.1926758867</v>
      </c>
      <c r="I68" s="11" t="n">
        <f aca="false">H68-H67</f>
        <v>2754.77925228091</v>
      </c>
      <c r="J68" s="11" t="n">
        <f aca="false">MES_PRICE</f>
        <v>2700</v>
      </c>
      <c r="K68" s="18" t="n">
        <f aca="false">IF(I68&gt;=MES_PRICE,1,0)</f>
        <v>1</v>
      </c>
    </row>
    <row r="69" customFormat="false" ht="15" hidden="false" customHeight="false" outlineLevel="0" collapsed="false">
      <c r="A69" s="18" t="n">
        <v>9</v>
      </c>
      <c r="B69" s="14" t="n">
        <f aca="false">A69*MES_HRS*WEEKS*(1+MES_DIM)^A69</f>
        <v>452.908331865703</v>
      </c>
      <c r="C69" s="14" t="n">
        <f aca="false">MIN(B69,OWN_HRS)</f>
        <v>452.908331865703</v>
      </c>
      <c r="D69" s="14" t="n">
        <f aca="false">MAX(B69-OWN_HRS,0)</f>
        <v>0</v>
      </c>
      <c r="E69" s="11" t="n">
        <f aca="false">C69*OWN_RATE+D69*WORKER_RATE</f>
        <v>15724.9772823772</v>
      </c>
      <c r="F69" s="11" t="n">
        <f aca="false">IF(B69=0,0,E69/B69)</f>
        <v>34.72</v>
      </c>
      <c r="G69" s="11" t="n">
        <f aca="false">A69*MES_FERT</f>
        <v>7920</v>
      </c>
      <c r="H69" s="11" t="n">
        <f aca="false">E69+G69</f>
        <v>23644.9772823772</v>
      </c>
      <c r="I69" s="11" t="n">
        <f aca="false">H69-H68</f>
        <v>2799.7846064905</v>
      </c>
      <c r="J69" s="11" t="n">
        <f aca="false">MES_PRICE</f>
        <v>2700</v>
      </c>
      <c r="K69" s="18" t="n">
        <f aca="false">IF(I69&gt;=MES_PRICE,1,0)</f>
        <v>1</v>
      </c>
    </row>
    <row r="70" customFormat="false" ht="15" hidden="false" customHeight="false" outlineLevel="0" collapsed="false">
      <c r="A70" s="18" t="n">
        <v>10</v>
      </c>
      <c r="B70" s="14" t="n">
        <f aca="false">A70*MES_HRS*WEEKS*(1+MES_DIM)^A70</f>
        <v>509.521873348916</v>
      </c>
      <c r="C70" s="14" t="n">
        <f aca="false">MIN(B70,OWN_HRS)</f>
        <v>509.521873348916</v>
      </c>
      <c r="D70" s="14" t="n">
        <f aca="false">MAX(B70-OWN_HRS,0)</f>
        <v>0</v>
      </c>
      <c r="E70" s="11" t="n">
        <f aca="false">C70*OWN_RATE+D70*WORKER_RATE</f>
        <v>17690.5994426743</v>
      </c>
      <c r="F70" s="11" t="n">
        <f aca="false">IF(B70=0,0,E70/B70)</f>
        <v>34.72</v>
      </c>
      <c r="G70" s="11" t="n">
        <f aca="false">A70*MES_FERT</f>
        <v>8800</v>
      </c>
      <c r="H70" s="11" t="n">
        <f aca="false">E70+G70</f>
        <v>26490.5994426743</v>
      </c>
      <c r="I70" s="11" t="n">
        <f aca="false">H70-H69</f>
        <v>2845.62216029715</v>
      </c>
      <c r="J70" s="11" t="n">
        <f aca="false">MES_PRICE</f>
        <v>2700</v>
      </c>
      <c r="K70" s="18" t="n">
        <f aca="false">IF(I70&gt;=MES_PRICE,1,0)</f>
        <v>1</v>
      </c>
    </row>
    <row r="71" customFormat="false" ht="15" hidden="false" customHeight="false" outlineLevel="0" collapsed="false">
      <c r="A71" s="18" t="n">
        <v>11</v>
      </c>
      <c r="B71" s="14" t="n">
        <f aca="false">A71*MES_HRS*WEEKS*(1+MES_DIM)^A71</f>
        <v>567.479986442355</v>
      </c>
      <c r="C71" s="14" t="n">
        <f aca="false">MIN(B71,OWN_HRS)</f>
        <v>567.479986442355</v>
      </c>
      <c r="D71" s="14" t="n">
        <f aca="false">MAX(B71-OWN_HRS,0)</f>
        <v>0</v>
      </c>
      <c r="E71" s="11" t="n">
        <f aca="false">C71*OWN_RATE+D71*WORKER_RATE</f>
        <v>19702.9051292786</v>
      </c>
      <c r="F71" s="11" t="n">
        <f aca="false">IF(B71=0,0,E71/B71)</f>
        <v>34.72</v>
      </c>
      <c r="G71" s="11" t="n">
        <f aca="false">A71*MES_FERT</f>
        <v>9680</v>
      </c>
      <c r="H71" s="11" t="n">
        <f aca="false">E71+G71</f>
        <v>29382.9051292786</v>
      </c>
      <c r="I71" s="11" t="n">
        <f aca="false">H71-H70</f>
        <v>2892.30568660421</v>
      </c>
      <c r="J71" s="11" t="n">
        <f aca="false">MES_PRICE</f>
        <v>2700</v>
      </c>
      <c r="K71" s="18" t="n">
        <f aca="false">IF(I71&gt;=MES_PRICE,1,0)</f>
        <v>1</v>
      </c>
    </row>
    <row r="72" customFormat="false" ht="15" hidden="false" customHeight="false" outlineLevel="0" collapsed="false">
      <c r="A72" s="18" t="n">
        <v>12</v>
      </c>
      <c r="B72" s="14" t="n">
        <f aca="false">A72*MES_HRS*WEEKS*(1+MES_DIM)^A72</f>
        <v>626.807439570419</v>
      </c>
      <c r="C72" s="14" t="n">
        <f aca="false">MIN(B72,OWN_HRS)</f>
        <v>626.807439570419</v>
      </c>
      <c r="D72" s="14" t="n">
        <f aca="false">MAX(B72-OWN_HRS,0)</f>
        <v>0</v>
      </c>
      <c r="E72" s="11" t="n">
        <f aca="false">C72*OWN_RATE+D72*WORKER_RATE</f>
        <v>21762.7543018849</v>
      </c>
      <c r="F72" s="11" t="n">
        <f aca="false">IF(B72=0,0,E72/B72)</f>
        <v>34.72</v>
      </c>
      <c r="G72" s="11" t="n">
        <f aca="false">A72*MES_FERT</f>
        <v>10560</v>
      </c>
      <c r="H72" s="11" t="n">
        <f aca="false">E72+G72</f>
        <v>32322.7543018849</v>
      </c>
      <c r="I72" s="11" t="n">
        <f aca="false">H72-H71</f>
        <v>2939.8491726064</v>
      </c>
      <c r="J72" s="11" t="n">
        <f aca="false">MES_PRICE</f>
        <v>2700</v>
      </c>
      <c r="K72" s="18" t="n">
        <f aca="false">IF(I72&gt;=MES_PRICE,1,0)</f>
        <v>1</v>
      </c>
    </row>
    <row r="73" customFormat="false" ht="15" hidden="false" customHeight="false" outlineLevel="0" collapsed="false">
      <c r="A73" s="18" t="n">
        <v>13</v>
      </c>
      <c r="B73" s="14" t="n">
        <f aca="false">A73*MES_HRS*WEEKS*(1+MES_DIM)^A73</f>
        <v>687.529410278803</v>
      </c>
      <c r="C73" s="14" t="n">
        <f aca="false">MIN(B73,OWN_HRS)</f>
        <v>687.529410278803</v>
      </c>
      <c r="D73" s="14" t="n">
        <f aca="false">MAX(B73-OWN_HRS,0)</f>
        <v>0</v>
      </c>
      <c r="E73" s="11" t="n">
        <f aca="false">C73*OWN_RATE+D73*WORKER_RATE</f>
        <v>23871.0211248801</v>
      </c>
      <c r="F73" s="11" t="n">
        <f aca="false">IF(B73=0,0,E73/B73)</f>
        <v>34.72</v>
      </c>
      <c r="G73" s="11" t="n">
        <f aca="false">A73*MES_FERT</f>
        <v>11440</v>
      </c>
      <c r="H73" s="11" t="n">
        <f aca="false">E73+G73</f>
        <v>35311.0211248801</v>
      </c>
      <c r="I73" s="11" t="n">
        <f aca="false">H73-H72</f>
        <v>2988.2668229951</v>
      </c>
      <c r="J73" s="11" t="n">
        <f aca="false">MES_PRICE</f>
        <v>2700</v>
      </c>
      <c r="K73" s="18" t="n">
        <f aca="false">IF(I73&gt;=MES_PRICE,1,0)</f>
        <v>1</v>
      </c>
    </row>
    <row r="74" customFormat="false" ht="15" hidden="false" customHeight="false" outlineLevel="0" collapsed="false">
      <c r="A74" s="18" t="n">
        <v>14</v>
      </c>
      <c r="B74" s="14" t="n">
        <f aca="false">A74*MES_HRS*WEEKS*(1+MES_DIM)^A74</f>
        <v>749.671491592464</v>
      </c>
      <c r="C74" s="14" t="n">
        <f aca="false">MIN(B74,OWN_HRS)</f>
        <v>720</v>
      </c>
      <c r="D74" s="14" t="n">
        <f aca="false">MAX(B74-OWN_HRS,0)</f>
        <v>29.6714915924644</v>
      </c>
      <c r="E74" s="11" t="n">
        <f aca="false">C74*OWN_RATE+D74*WORKER_RATE</f>
        <v>25513.4970940452</v>
      </c>
      <c r="F74" s="11" t="n">
        <f aca="false">IF(B74=0,0,E74/B74)</f>
        <v>34.0329029183823</v>
      </c>
      <c r="G74" s="11" t="n">
        <f aca="false">A74*MES_FERT</f>
        <v>12320</v>
      </c>
      <c r="H74" s="11" t="n">
        <f aca="false">E74+G74</f>
        <v>37833.4970940452</v>
      </c>
      <c r="I74" s="11" t="n">
        <f aca="false">H74-H73</f>
        <v>2522.47596916513</v>
      </c>
      <c r="J74" s="11" t="n">
        <f aca="false">MES_PRICE</f>
        <v>2700</v>
      </c>
      <c r="K74" s="18" t="n">
        <f aca="false">IF(I74&gt;=MES_PRICE,1,0)</f>
        <v>0</v>
      </c>
    </row>
    <row r="75" customFormat="false" ht="15" hidden="false" customHeight="false" outlineLevel="0" collapsed="false">
      <c r="A75" s="18" t="n">
        <v>15</v>
      </c>
      <c r="B75" s="14" t="n">
        <f aca="false">A75*MES_HRS*WEEKS*(1+MES_DIM)^A75</f>
        <v>813.259698468611</v>
      </c>
      <c r="C75" s="14" t="n">
        <f aca="false">MIN(B75,OWN_HRS)</f>
        <v>720</v>
      </c>
      <c r="D75" s="14" t="n">
        <f aca="false">MAX(B75-OWN_HRS,0)</f>
        <v>93.2596984686107</v>
      </c>
      <c r="E75" s="11" t="n">
        <f aca="false">C75*OWN_RATE+D75*WORKER_RATE</f>
        <v>26617.3883654151</v>
      </c>
      <c r="F75" s="11" t="n">
        <f aca="false">IF(B75=0,0,E75/B75)</f>
        <v>32.7292603033647</v>
      </c>
      <c r="G75" s="11" t="n">
        <f aca="false">A75*MES_FERT</f>
        <v>13200</v>
      </c>
      <c r="H75" s="11" t="n">
        <f aca="false">E75+G75</f>
        <v>39817.3883654151</v>
      </c>
      <c r="I75" s="11" t="n">
        <f aca="false">H75-H74</f>
        <v>1983.89127136991</v>
      </c>
      <c r="J75" s="11" t="n">
        <f aca="false">MES_PRICE</f>
        <v>2700</v>
      </c>
      <c r="K75" s="18" t="n">
        <f aca="false">IF(I75&gt;=MES_PRICE,1,0)</f>
        <v>0</v>
      </c>
    </row>
    <row r="76" customFormat="false" ht="15" hidden="false" customHeight="false" outlineLevel="0" collapsed="false">
      <c r="A76" s="18" t="n">
        <v>16</v>
      </c>
      <c r="B76" s="14" t="n">
        <f aca="false">A76*MES_HRS*WEEKS*(1+MES_DIM)^A76</f>
        <v>878.3204743461</v>
      </c>
      <c r="C76" s="14" t="n">
        <f aca="false">MIN(B76,OWN_HRS)</f>
        <v>720</v>
      </c>
      <c r="D76" s="14" t="n">
        <f aca="false">MAX(B76-OWN_HRS,0)</f>
        <v>158.3204743461</v>
      </c>
      <c r="E76" s="11" t="n">
        <f aca="false">C76*OWN_RATE+D76*WORKER_RATE</f>
        <v>27746.8434346483</v>
      </c>
      <c r="F76" s="11" t="n">
        <f aca="false">IF(B76=0,0,E76/B76)</f>
        <v>31.5907965771896</v>
      </c>
      <c r="G76" s="11" t="n">
        <f aca="false">A76*MES_FERT</f>
        <v>14080</v>
      </c>
      <c r="H76" s="11" t="n">
        <f aca="false">E76+G76</f>
        <v>41826.8434346483</v>
      </c>
      <c r="I76" s="11" t="n">
        <f aca="false">H76-H75</f>
        <v>2009.45506923321</v>
      </c>
      <c r="J76" s="11" t="n">
        <f aca="false">MES_PRICE</f>
        <v>2700</v>
      </c>
      <c r="K76" s="18" t="n">
        <f aca="false">IF(I76&gt;=MES_PRICE,1,0)</f>
        <v>0</v>
      </c>
    </row>
    <row r="77" customFormat="false" ht="15" hidden="false" customHeight="false" outlineLevel="0" collapsed="false">
      <c r="A77" s="18" t="n">
        <v>17</v>
      </c>
      <c r="B77" s="14" t="n">
        <f aca="false">A77*MES_HRS*WEEKS*(1+MES_DIM)^A77</f>
        <v>944.88069779264</v>
      </c>
      <c r="C77" s="14" t="n">
        <f aca="false">MIN(B77,OWN_HRS)</f>
        <v>720</v>
      </c>
      <c r="D77" s="14" t="n">
        <f aca="false">MAX(B77-OWN_HRS,0)</f>
        <v>224.88069779264</v>
      </c>
      <c r="E77" s="11" t="n">
        <f aca="false">C77*OWN_RATE+D77*WORKER_RATE</f>
        <v>28902.3289136802</v>
      </c>
      <c r="F77" s="11" t="n">
        <f aca="false">IF(B77=0,0,E77/B77)</f>
        <v>30.5883366875836</v>
      </c>
      <c r="G77" s="11" t="n">
        <f aca="false">A77*MES_FERT</f>
        <v>14960</v>
      </c>
      <c r="H77" s="11" t="n">
        <f aca="false">E77+G77</f>
        <v>43862.3289136802</v>
      </c>
      <c r="I77" s="11" t="n">
        <f aca="false">H77-H76</f>
        <v>2035.48547903194</v>
      </c>
      <c r="J77" s="11" t="n">
        <f aca="false">MES_PRICE</f>
        <v>2700</v>
      </c>
      <c r="K77" s="18" t="n">
        <f aca="false">IF(I77&gt;=MES_PRICE,1,0)</f>
        <v>0</v>
      </c>
    </row>
    <row r="78" customFormat="false" ht="15" hidden="false" customHeight="false" outlineLevel="0" collapsed="false">
      <c r="A78" s="18" t="n">
        <v>18</v>
      </c>
      <c r="B78" s="14" t="n">
        <f aca="false">A78*MES_HRS*WEEKS*(1+MES_DIM)^A78</f>
        <v>1012.96768925123</v>
      </c>
      <c r="C78" s="14" t="n">
        <f aca="false">MIN(B78,OWN_HRS)</f>
        <v>720</v>
      </c>
      <c r="D78" s="14" t="n">
        <f aca="false">MAX(B78-OWN_HRS,0)</f>
        <v>292.967689251227</v>
      </c>
      <c r="E78" s="11" t="n">
        <f aca="false">C78*OWN_RATE+D78*WORKER_RATE</f>
        <v>30084.3190854013</v>
      </c>
      <c r="F78" s="11" t="n">
        <f aca="false">IF(B78=0,0,E78/B78)</f>
        <v>29.6991892284731</v>
      </c>
      <c r="G78" s="11" t="n">
        <f aca="false">A78*MES_FERT</f>
        <v>15840</v>
      </c>
      <c r="H78" s="11" t="n">
        <f aca="false">E78+G78</f>
        <v>45924.3190854013</v>
      </c>
      <c r="I78" s="11" t="n">
        <f aca="false">H78-H77</f>
        <v>2061.99017172107</v>
      </c>
      <c r="J78" s="11" t="n">
        <f aca="false">MES_PRICE</f>
        <v>2700</v>
      </c>
      <c r="K78" s="18" t="n">
        <f aca="false">IF(I78&gt;=MES_PRICE,1,0)</f>
        <v>0</v>
      </c>
    </row>
    <row r="79" customFormat="false" ht="15" hidden="false" customHeight="false" outlineLevel="0" collapsed="false">
      <c r="A79" s="18" t="n">
        <v>19</v>
      </c>
      <c r="B79" s="14" t="n">
        <f aca="false">A79*MES_HRS*WEEKS*(1+MES_DIM)^A79</f>
        <v>1082.60921788725</v>
      </c>
      <c r="C79" s="14" t="n">
        <f aca="false">MIN(B79,OWN_HRS)</f>
        <v>720</v>
      </c>
      <c r="D79" s="14" t="n">
        <f aca="false">MAX(B79-OWN_HRS,0)</f>
        <v>362.609217887249</v>
      </c>
      <c r="E79" s="11" t="n">
        <f aca="false">C79*OWN_RATE+D79*WORKER_RATE</f>
        <v>31293.2960225226</v>
      </c>
      <c r="F79" s="11" t="n">
        <f aca="false">IF(B79=0,0,E79/B79)</f>
        <v>28.905440213776</v>
      </c>
      <c r="G79" s="11" t="n">
        <f aca="false">A79*MES_FERT</f>
        <v>16720</v>
      </c>
      <c r="H79" s="11" t="n">
        <f aca="false">E79+G79</f>
        <v>48013.2960225226</v>
      </c>
      <c r="I79" s="11" t="n">
        <f aca="false">H79-H78</f>
        <v>2088.97693712134</v>
      </c>
      <c r="J79" s="11" t="n">
        <f aca="false">MES_PRICE</f>
        <v>2700</v>
      </c>
      <c r="K79" s="18" t="n">
        <f aca="false">IF(I79&gt;=MES_PRICE,1,0)</f>
        <v>0</v>
      </c>
    </row>
    <row r="80" customFormat="false" ht="15" hidden="false" customHeight="false" outlineLevel="0" collapsed="false">
      <c r="A80" s="18" t="n">
        <v>20</v>
      </c>
      <c r="B80" s="14" t="n">
        <f aca="false">A80*MES_HRS*WEEKS*(1+MES_DIM)^A80</f>
        <v>1153.83350853773</v>
      </c>
      <c r="C80" s="14" t="n">
        <f aca="false">MIN(B80,OWN_HRS)</f>
        <v>720</v>
      </c>
      <c r="D80" s="14" t="n">
        <f aca="false">MAX(B80-OWN_HRS,0)</f>
        <v>433.833508537726</v>
      </c>
      <c r="E80" s="11" t="n">
        <f aca="false">C80*OWN_RATE+D80*WORKER_RATE</f>
        <v>32529.7497082149</v>
      </c>
      <c r="F80" s="11" t="n">
        <f aca="false">IF(B80=0,0,E80/B80)</f>
        <v>28.1927587190984</v>
      </c>
      <c r="G80" s="11" t="n">
        <f aca="false">A80*MES_FERT</f>
        <v>17600</v>
      </c>
      <c r="H80" s="11" t="n">
        <f aca="false">E80+G80</f>
        <v>50129.7497082149</v>
      </c>
      <c r="I80" s="11" t="n">
        <f aca="false">H80-H79</f>
        <v>2116.45368569228</v>
      </c>
      <c r="J80" s="11" t="n">
        <f aca="false">MES_PRICE</f>
        <v>2700</v>
      </c>
      <c r="K80" s="18" t="n">
        <f aca="false">IF(I80&gt;=MES_PRICE,1,0)</f>
        <v>0</v>
      </c>
    </row>
    <row r="81" customFormat="false" ht="15" hidden="false" customHeight="false" outlineLevel="0" collapsed="false">
      <c r="A81" s="18" t="n">
        <v>21</v>
      </c>
      <c r="B81" s="14" t="n">
        <f aca="false">A81*MES_HRS*WEEKS*(1+MES_DIM)^A81</f>
        <v>1226.66924876417</v>
      </c>
      <c r="C81" s="14" t="n">
        <f aca="false">MIN(B81,OWN_HRS)</f>
        <v>720</v>
      </c>
      <c r="D81" s="14" t="n">
        <f aca="false">MAX(B81-OWN_HRS,0)</f>
        <v>506.66924876417</v>
      </c>
      <c r="E81" s="11" t="n">
        <f aca="false">C81*OWN_RATE+D81*WORKER_RATE</f>
        <v>33794.178158546</v>
      </c>
      <c r="F81" s="11" t="n">
        <f aca="false">IF(B81=0,0,E81/B81)</f>
        <v>27.5495437686993</v>
      </c>
      <c r="G81" s="11" t="n">
        <f aca="false">A81*MES_FERT</f>
        <v>18480</v>
      </c>
      <c r="H81" s="11" t="n">
        <f aca="false">E81+G81</f>
        <v>52274.178158546</v>
      </c>
      <c r="I81" s="11" t="n">
        <f aca="false">H81-H80</f>
        <v>2144.42845033106</v>
      </c>
      <c r="J81" s="11" t="n">
        <f aca="false">MES_PRICE</f>
        <v>2700</v>
      </c>
      <c r="K81" s="18" t="n">
        <f aca="false">IF(I81&gt;=MES_PRICE,1,0)</f>
        <v>0</v>
      </c>
    </row>
    <row r="82" customFormat="false" ht="15" hidden="false" customHeight="false" outlineLevel="0" collapsed="false">
      <c r="A82" s="18" t="n">
        <v>22</v>
      </c>
      <c r="B82" s="14" t="n">
        <f aca="false">A82*MES_HRS*WEEKS*(1+MES_DIM)^A82</f>
        <v>1301.14559601057</v>
      </c>
      <c r="C82" s="14" t="n">
        <f aca="false">MIN(B82,OWN_HRS)</f>
        <v>720</v>
      </c>
      <c r="D82" s="14" t="n">
        <f aca="false">MAX(B82-OWN_HRS,0)</f>
        <v>581.145596010566</v>
      </c>
      <c r="E82" s="11" t="n">
        <f aca="false">C82*OWN_RATE+D82*WORKER_RATE</f>
        <v>35087.0875467434</v>
      </c>
      <c r="F82" s="11" t="n">
        <f aca="false">IF(B82=0,0,E82/B82)</f>
        <v>26.9663038896828</v>
      </c>
      <c r="G82" s="11" t="n">
        <f aca="false">A82*MES_FERT</f>
        <v>19360</v>
      </c>
      <c r="H82" s="11" t="n">
        <f aca="false">E82+G82</f>
        <v>54447.0875467434</v>
      </c>
      <c r="I82" s="11" t="n">
        <f aca="false">H82-H81</f>
        <v>2172.90938819744</v>
      </c>
      <c r="J82" s="11" t="n">
        <f aca="false">MES_PRICE</f>
        <v>2700</v>
      </c>
      <c r="K82" s="18" t="n">
        <f aca="false">IF(I82&gt;=MES_PRICE,1,0)</f>
        <v>0</v>
      </c>
    </row>
    <row r="83" customFormat="false" ht="15" hidden="false" customHeight="false" outlineLevel="0" collapsed="false">
      <c r="A83" s="18" t="n">
        <v>23</v>
      </c>
      <c r="B83" s="14" t="n">
        <f aca="false">A83*MES_HRS*WEEKS*(1+MES_DIM)^A83</f>
        <v>1377.292184868</v>
      </c>
      <c r="C83" s="14" t="n">
        <f aca="false">MIN(B83,OWN_HRS)</f>
        <v>720</v>
      </c>
      <c r="D83" s="14" t="n">
        <f aca="false">MAX(B83-OWN_HRS,0)</f>
        <v>657.292184868002</v>
      </c>
      <c r="E83" s="11" t="n">
        <f aca="false">C83*OWN_RATE+D83*WORKER_RATE</f>
        <v>36408.9923293085</v>
      </c>
      <c r="F83" s="11" t="n">
        <f aca="false">IF(B83=0,0,E83/B83)</f>
        <v>26.4351985216542</v>
      </c>
      <c r="G83" s="11" t="n">
        <f aca="false">A83*MES_FERT</f>
        <v>20240</v>
      </c>
      <c r="H83" s="11" t="n">
        <f aca="false">E83+G83</f>
        <v>56648.9923293085</v>
      </c>
      <c r="I83" s="11" t="n">
        <f aca="false">H83-H82</f>
        <v>2201.90478256509</v>
      </c>
      <c r="J83" s="11" t="n">
        <f aca="false">MES_PRICE</f>
        <v>2700</v>
      </c>
      <c r="K83" s="18" t="n">
        <f aca="false">IF(I83&gt;=MES_PRICE,1,0)</f>
        <v>0</v>
      </c>
    </row>
    <row r="84" customFormat="false" ht="15" hidden="false" customHeight="false" outlineLevel="0" collapsed="false">
      <c r="A84" s="18" t="n">
        <v>24</v>
      </c>
      <c r="B84" s="14" t="n">
        <f aca="false">A84*MES_HRS*WEEKS*(1+MES_DIM)^A84</f>
        <v>1455.1391344475</v>
      </c>
      <c r="C84" s="14" t="n">
        <f aca="false">MIN(B84,OWN_HRS)</f>
        <v>720</v>
      </c>
      <c r="D84" s="14" t="n">
        <f aca="false">MAX(B84-OWN_HRS,0)</f>
        <v>735.139134447498</v>
      </c>
      <c r="E84" s="11" t="n">
        <f aca="false">C84*OWN_RATE+D84*WORKER_RATE</f>
        <v>37760.4153740086</v>
      </c>
      <c r="F84" s="11" t="n">
        <f aca="false">IF(B84=0,0,E84/B84)</f>
        <v>25.9496940739937</v>
      </c>
      <c r="G84" s="11" t="n">
        <f aca="false">A84*MES_FERT</f>
        <v>21120</v>
      </c>
      <c r="H84" s="11" t="n">
        <f aca="false">E84+G84</f>
        <v>58880.4153740086</v>
      </c>
      <c r="I84" s="11" t="n">
        <f aca="false">H84-H83</f>
        <v>2231.42304470004</v>
      </c>
      <c r="J84" s="11" t="n">
        <f aca="false">MES_PRICE</f>
        <v>2700</v>
      </c>
      <c r="K84" s="18" t="n">
        <f aca="false">IF(I84&gt;=MES_PRICE,1,0)</f>
        <v>0</v>
      </c>
    </row>
    <row r="85" customFormat="false" ht="15" hidden="false" customHeight="false" outlineLevel="0" collapsed="false">
      <c r="A85" s="18" t="n">
        <v>25</v>
      </c>
      <c r="B85" s="14" t="n">
        <f aca="false">A85*MES_HRS*WEEKS*(1+MES_DIM)^A85</f>
        <v>1534.7170558626</v>
      </c>
      <c r="C85" s="14" t="n">
        <f aca="false">MIN(B85,OWN_HRS)</f>
        <v>720</v>
      </c>
      <c r="D85" s="14" t="n">
        <f aca="false">MAX(B85-OWN_HRS,0)</f>
        <v>814.717055862596</v>
      </c>
      <c r="E85" s="11" t="n">
        <f aca="false">C85*OWN_RATE+D85*WORKER_RATE</f>
        <v>39141.8880897747</v>
      </c>
      <c r="F85" s="11" t="n">
        <f aca="false">IF(B85=0,0,E85/B85)</f>
        <v>25.5043025294163</v>
      </c>
      <c r="G85" s="11" t="n">
        <f aca="false">A85*MES_FERT</f>
        <v>22000</v>
      </c>
      <c r="H85" s="11" t="n">
        <f aca="false">E85+G85</f>
        <v>61141.8880897747</v>
      </c>
      <c r="I85" s="11" t="n">
        <f aca="false">H85-H84</f>
        <v>2261.4727157661</v>
      </c>
      <c r="J85" s="11" t="n">
        <f aca="false">MES_PRICE</f>
        <v>2700</v>
      </c>
      <c r="K85" s="18" t="n">
        <f aca="false">IF(I85&gt;=MES_PRICE,1,0)</f>
        <v>0</v>
      </c>
    </row>
    <row r="86" customFormat="false" ht="15" hidden="false" customHeight="false" outlineLevel="0" collapsed="false">
      <c r="A86" s="18" t="n">
        <v>26</v>
      </c>
      <c r="B86" s="14" t="n">
        <f aca="false">A86*MES_HRS*WEEKS*(1+MES_DIM)^A86</f>
        <v>1616.05705982331</v>
      </c>
      <c r="C86" s="14" t="n">
        <f aca="false">MIN(B86,OWN_HRS)</f>
        <v>720</v>
      </c>
      <c r="D86" s="14" t="n">
        <f aca="false">MAX(B86-OWN_HRS,0)</f>
        <v>896.057059823313</v>
      </c>
      <c r="E86" s="11" t="n">
        <f aca="false">C86*OWN_RATE+D86*WORKER_RATE</f>
        <v>40553.9505585327</v>
      </c>
      <c r="F86" s="11" t="n">
        <f aca="false">IF(B86=0,0,E86/B86)</f>
        <v>25.094380369816</v>
      </c>
      <c r="G86" s="11" t="n">
        <f aca="false">A86*MES_FERT</f>
        <v>22880</v>
      </c>
      <c r="H86" s="11" t="n">
        <f aca="false">E86+G86</f>
        <v>63433.9505585327</v>
      </c>
      <c r="I86" s="11" t="n">
        <f aca="false">H86-H85</f>
        <v>2292.06246875805</v>
      </c>
      <c r="J86" s="11" t="n">
        <f aca="false">MES_PRICE</f>
        <v>2700</v>
      </c>
      <c r="K86" s="18" t="n">
        <f aca="false">IF(I86&gt;=MES_PRICE,1,0)</f>
        <v>0</v>
      </c>
    </row>
    <row r="87" customFormat="false" ht="15" hidden="false" customHeight="false" outlineLevel="0" collapsed="false">
      <c r="A87" s="18" t="n">
        <v>27</v>
      </c>
      <c r="B87" s="14" t="n">
        <f aca="false">A87*MES_HRS*WEEKS*(1+MES_DIM)^A87</f>
        <v>1699.19076434307</v>
      </c>
      <c r="C87" s="14" t="n">
        <f aca="false">MIN(B87,OWN_HRS)</f>
        <v>720</v>
      </c>
      <c r="D87" s="14" t="n">
        <f aca="false">MAX(B87-OWN_HRS,0)</f>
        <v>979.19076434307</v>
      </c>
      <c r="E87" s="11" t="n">
        <f aca="false">C87*OWN_RATE+D87*WORKER_RATE</f>
        <v>41997.1516689957</v>
      </c>
      <c r="F87" s="11" t="n">
        <f aca="false">IF(B87=0,0,E87/B87)</f>
        <v>24.7159721852845</v>
      </c>
      <c r="G87" s="11" t="n">
        <f aca="false">A87*MES_FERT</f>
        <v>23760</v>
      </c>
      <c r="H87" s="11" t="n">
        <f aca="false">E87+G87</f>
        <v>65757.1516689957</v>
      </c>
      <c r="I87" s="11" t="n">
        <f aca="false">H87-H86</f>
        <v>2323.20111046299</v>
      </c>
      <c r="J87" s="11" t="n">
        <f aca="false">MES_PRICE</f>
        <v>2700</v>
      </c>
      <c r="K87" s="18" t="n">
        <f aca="false">IF(I87&gt;=MES_PRICE,1,0)</f>
        <v>0</v>
      </c>
    </row>
    <row r="88" customFormat="false" ht="15" hidden="false" customHeight="false" outlineLevel="0" collapsed="false">
      <c r="A88" s="18" t="n">
        <v>28</v>
      </c>
      <c r="B88" s="14" t="n">
        <f aca="false">A88*MES_HRS*WEEKS*(1+MES_DIM)^A88</f>
        <v>1784.15030256022</v>
      </c>
      <c r="C88" s="14" t="n">
        <f aca="false">MIN(B88,OWN_HRS)</f>
        <v>720</v>
      </c>
      <c r="D88" s="14" t="n">
        <f aca="false">MAX(B88-OWN_HRS,0)</f>
        <v>1064.15030256022</v>
      </c>
      <c r="E88" s="11" t="n">
        <f aca="false">C88*OWN_RATE+D88*WORKER_RATE</f>
        <v>43472.0492524455</v>
      </c>
      <c r="F88" s="11" t="n">
        <f aca="false">IF(B88=0,0,E88/B88)</f>
        <v>24.3656877955091</v>
      </c>
      <c r="G88" s="11" t="n">
        <f aca="false">A88*MES_FERT</f>
        <v>24640</v>
      </c>
      <c r="H88" s="11" t="n">
        <f aca="false">E88+G88</f>
        <v>68112.0492524455</v>
      </c>
      <c r="I88" s="11" t="n">
        <f aca="false">H88-H87</f>
        <v>2354.89758344978</v>
      </c>
      <c r="J88" s="11" t="n">
        <f aca="false">MES_PRICE</f>
        <v>2700</v>
      </c>
      <c r="K88" s="18" t="n">
        <f aca="false">IF(I88&gt;=MES_PRICE,1,0)</f>
        <v>0</v>
      </c>
    </row>
    <row r="89" customFormat="false" ht="15" hidden="false" customHeight="false" outlineLevel="0" collapsed="false">
      <c r="A89" s="18" t="n">
        <v>29</v>
      </c>
      <c r="B89" s="14" t="n">
        <f aca="false">A89*MES_HRS*WEEKS*(1+MES_DIM)^A89</f>
        <v>1870.96833067588</v>
      </c>
      <c r="C89" s="14" t="n">
        <f aca="false">MIN(B89,OWN_HRS)</f>
        <v>720</v>
      </c>
      <c r="D89" s="14" t="n">
        <f aca="false">MAX(B89-OWN_HRS,0)</f>
        <v>1150.96833067588</v>
      </c>
      <c r="E89" s="11" t="n">
        <f aca="false">C89*OWN_RATE+D89*WORKER_RATE</f>
        <v>44979.2102205332</v>
      </c>
      <c r="F89" s="11" t="n">
        <f aca="false">IF(B89=0,0,E89/B89)</f>
        <v>24.0406047943552</v>
      </c>
      <c r="G89" s="11" t="n">
        <f aca="false">A89*MES_FERT</f>
        <v>25520</v>
      </c>
      <c r="H89" s="11" t="n">
        <f aca="false">E89+G89</f>
        <v>70499.2102205332</v>
      </c>
      <c r="I89" s="11" t="n">
        <f aca="false">H89-H88</f>
        <v>2387.16096808774</v>
      </c>
      <c r="J89" s="11" t="n">
        <f aca="false">MES_PRICE</f>
        <v>2700</v>
      </c>
      <c r="K89" s="18" t="n">
        <f aca="false">IF(I89&gt;=MES_PRICE,1,0)</f>
        <v>0</v>
      </c>
    </row>
    <row r="90" customFormat="false" ht="15" hidden="false" customHeight="false" outlineLevel="0" collapsed="false">
      <c r="A90" s="18" t="n">
        <v>30</v>
      </c>
      <c r="B90" s="14" t="n">
        <f aca="false">A90*MES_HRS*WEEKS*(1+MES_DIM)^A90</f>
        <v>1959.67803600965</v>
      </c>
      <c r="C90" s="14" t="n">
        <f aca="false">MIN(B90,OWN_HRS)</f>
        <v>720</v>
      </c>
      <c r="D90" s="14" t="n">
        <f aca="false">MAX(B90-OWN_HRS,0)</f>
        <v>1239.67803600965</v>
      </c>
      <c r="E90" s="11" t="n">
        <f aca="false">C90*OWN_RATE+D90*WORKER_RATE</f>
        <v>46519.2107051275</v>
      </c>
      <c r="F90" s="11" t="n">
        <f aca="false">IF(B90=0,0,E90/B90)</f>
        <v>23.7381905855572</v>
      </c>
      <c r="G90" s="11" t="n">
        <f aca="false">A90*MES_FERT</f>
        <v>26400</v>
      </c>
      <c r="H90" s="11" t="n">
        <f aca="false">E90+G90</f>
        <v>72919.2107051275</v>
      </c>
      <c r="I90" s="11" t="n">
        <f aca="false">H90-H89</f>
        <v>2420.00048459425</v>
      </c>
      <c r="J90" s="11" t="n">
        <f aca="false">MES_PRICE</f>
        <v>2700</v>
      </c>
      <c r="K90" s="18" t="n">
        <f aca="false">IF(I90&gt;=MES_PRICE,1,0)</f>
        <v>0</v>
      </c>
    </row>
    <row r="92" customFormat="false" ht="15" hidden="false" customHeight="false" outlineLevel="0" collapsed="false">
      <c r="A92" s="3" t="s">
        <v>95</v>
      </c>
      <c r="B92" s="19" t="n">
        <f aca="false">IF(ISNA(MATCH(1,'Marginal Cost Schedules'!$K$61:$K$90,0)),MES_CAP,MATCH(1,'Marginal Cost Schedules'!$K$61:$K$90,0)-1)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6"/>
  </cols>
  <sheetData>
    <row r="1" customFormat="false" ht="17.35" hidden="false" customHeight="false" outlineLevel="0" collapsed="false">
      <c r="A1" s="1" t="s">
        <v>96</v>
      </c>
    </row>
    <row r="2" customFormat="false" ht="26.85" hidden="false" customHeight="false" outlineLevel="0" collapsed="false">
      <c r="A2" s="16" t="s">
        <v>97</v>
      </c>
    </row>
    <row r="4" customFormat="false" ht="15" hidden="false" customHeight="false" outlineLevel="0" collapsed="false">
      <c r="A4" s="9" t="s">
        <v>98</v>
      </c>
    </row>
    <row r="5" customFormat="false" ht="15" hidden="false" customHeight="false" outlineLevel="0" collapsed="false">
      <c r="A5" s="5" t="s">
        <v>99</v>
      </c>
      <c r="B5" s="14" t="n">
        <f aca="false">1*TOM_HRS*WEEKS*(1+TOM_DIM)^1</f>
        <v>99</v>
      </c>
    </row>
    <row r="6" customFormat="false" ht="15" hidden="false" customHeight="false" outlineLevel="0" collapsed="false">
      <c r="A6" s="5" t="s">
        <v>100</v>
      </c>
      <c r="B6" s="7" t="n">
        <v>99</v>
      </c>
    </row>
    <row r="7" customFormat="false" ht="15" hidden="false" customHeight="false" outlineLevel="0" collapsed="false">
      <c r="A7" s="3" t="s">
        <v>101</v>
      </c>
      <c r="B7" s="20" t="b">
        <f aca="false">B5=B6</f>
        <v>1</v>
      </c>
    </row>
    <row r="9" customFormat="false" ht="15" hidden="false" customHeight="false" outlineLevel="0" collapsed="false">
      <c r="A9" s="9" t="s">
        <v>102</v>
      </c>
    </row>
    <row r="10" customFormat="false" ht="15" hidden="false" customHeight="false" outlineLevel="0" collapsed="false">
      <c r="A10" s="5" t="s">
        <v>103</v>
      </c>
      <c r="B10" s="11" t="n">
        <f aca="false">INDEX(MC_TOM,10)</f>
        <v>8248.1149448368</v>
      </c>
    </row>
    <row r="11" customFormat="false" ht="15" hidden="false" customHeight="false" outlineLevel="0" collapsed="false">
      <c r="A11" s="5" t="s">
        <v>104</v>
      </c>
      <c r="B11" s="21"/>
    </row>
    <row r="12" customFormat="false" ht="15" hidden="false" customHeight="false" outlineLevel="0" collapsed="false">
      <c r="A12" s="5" t="s">
        <v>105</v>
      </c>
      <c r="B12" s="11" t="n">
        <f aca="false">ABS(B10-B11)</f>
        <v>8248.1149448368</v>
      </c>
    </row>
    <row r="13" customFormat="false" ht="15" hidden="false" customHeight="false" outlineLevel="0" collapsed="false">
      <c r="A13" s="3" t="s">
        <v>106</v>
      </c>
      <c r="B13" s="20" t="b">
        <f aca="false">B12&lt;=1</f>
        <v>0</v>
      </c>
    </row>
    <row r="15" customFormat="false" ht="15" hidden="false" customHeight="false" outlineLevel="0" collapsed="false">
      <c r="A15" s="9" t="s">
        <v>107</v>
      </c>
    </row>
    <row r="16" customFormat="false" ht="15" hidden="false" customHeight="false" outlineLevel="0" collapsed="false">
      <c r="B16" s="2" t="s">
        <v>108</v>
      </c>
      <c r="C16" s="2" t="s">
        <v>109</v>
      </c>
    </row>
    <row r="17" customFormat="false" ht="15" hidden="false" customHeight="false" outlineLevel="0" collapsed="false">
      <c r="A17" s="5" t="s">
        <v>110</v>
      </c>
      <c r="B17" s="10"/>
      <c r="C17" s="10"/>
    </row>
    <row r="18" customFormat="false" ht="15" hidden="false" customHeight="false" outlineLevel="0" collapsed="false">
      <c r="A18" s="5" t="s">
        <v>111</v>
      </c>
      <c r="B18" s="10"/>
      <c r="C18" s="10"/>
    </row>
    <row r="19" customFormat="false" ht="15" hidden="false" customHeight="false" outlineLevel="0" collapsed="false">
      <c r="A19" s="5" t="s">
        <v>112</v>
      </c>
      <c r="B19" s="10"/>
      <c r="C19" s="10"/>
    </row>
    <row r="20" customFormat="false" ht="15" hidden="false" customHeight="false" outlineLevel="0" collapsed="false">
      <c r="A20" s="5" t="s">
        <v>113</v>
      </c>
      <c r="B20" s="21"/>
      <c r="C20" s="21"/>
    </row>
    <row r="21" customFormat="false" ht="15" hidden="false" customHeight="false" outlineLevel="0" collapsed="false">
      <c r="A21" s="3" t="s">
        <v>114</v>
      </c>
      <c r="B21" s="20" t="b">
        <f aca="false">AND(B17=C17,B18=C18,B19=C19)</f>
        <v>1</v>
      </c>
    </row>
    <row r="22" customFormat="false" ht="15" hidden="false" customHeight="false" outlineLevel="0" collapsed="false">
      <c r="A22" s="3" t="s">
        <v>115</v>
      </c>
      <c r="B22" s="20" t="b">
        <f aca="false">ABS(B20-C20)&lt;=0.01</f>
        <v>1</v>
      </c>
    </row>
    <row r="24" customFormat="false" ht="15" hidden="false" customHeight="false" outlineLevel="0" collapsed="false">
      <c r="A24" s="9" t="s">
        <v>116</v>
      </c>
    </row>
    <row r="25" customFormat="false" ht="15" hidden="false" customHeight="false" outlineLevel="0" collapsed="false">
      <c r="B25" s="2" t="s">
        <v>117</v>
      </c>
      <c r="C25" s="2" t="s">
        <v>118</v>
      </c>
      <c r="D25" s="2" t="s">
        <v>101</v>
      </c>
    </row>
    <row r="26" customFormat="false" ht="15" hidden="false" customHeight="false" outlineLevel="0" collapsed="false">
      <c r="A26" s="5" t="s">
        <v>119</v>
      </c>
      <c r="B26" s="18" t="n">
        <f aca="false">TOM_BEDS</f>
        <v>0</v>
      </c>
      <c r="C26" s="18" t="n">
        <v>10</v>
      </c>
      <c r="D26" s="20" t="b">
        <f aca="false">B26=C26</f>
        <v>0</v>
      </c>
    </row>
    <row r="27" customFormat="false" ht="15" hidden="false" customHeight="false" outlineLevel="0" collapsed="false">
      <c r="A27" s="5" t="s">
        <v>120</v>
      </c>
      <c r="B27" s="18" t="n">
        <f aca="false">CAR_BEDS</f>
        <v>0</v>
      </c>
      <c r="C27" s="18" t="n">
        <v>20</v>
      </c>
      <c r="D27" s="20" t="b">
        <f aca="false">B27=C27</f>
        <v>0</v>
      </c>
    </row>
    <row r="28" customFormat="false" ht="15" hidden="false" customHeight="false" outlineLevel="0" collapsed="false">
      <c r="A28" s="5" t="s">
        <v>121</v>
      </c>
      <c r="B28" s="18" t="n">
        <f aca="false">MES_BEDS</f>
        <v>0</v>
      </c>
      <c r="C28" s="18" t="n">
        <v>30</v>
      </c>
      <c r="D28" s="20" t="b">
        <f aca="false">B28=C28</f>
        <v>0</v>
      </c>
    </row>
    <row r="29" customFormat="false" ht="15" hidden="false" customHeight="false" outlineLevel="0" collapsed="false">
      <c r="A29" s="5" t="s">
        <v>122</v>
      </c>
      <c r="B29" s="11" t="n">
        <f aca="false">PROFIT</f>
        <v>-20000</v>
      </c>
      <c r="C29" s="11" t="n">
        <v>42762</v>
      </c>
      <c r="D29" s="20" t="b">
        <f aca="false">ABS(B29-C29)&lt;=0.01</f>
        <v>0</v>
      </c>
    </row>
    <row r="30" customFormat="false" ht="15" hidden="false" customHeight="false" outlineLevel="0" collapsed="false">
      <c r="A30" s="5" t="s">
        <v>123</v>
      </c>
      <c r="B30" s="18" t="n">
        <f aca="false">TOM_CROSSING</f>
        <v>10</v>
      </c>
      <c r="C30" s="5" t="s">
        <v>124</v>
      </c>
    </row>
    <row r="31" customFormat="false" ht="15" hidden="false" customHeight="false" outlineLevel="0" collapsed="false">
      <c r="A31" s="5" t="s">
        <v>125</v>
      </c>
      <c r="B31" s="18" t="n">
        <f aca="false">CAR_CROSSING</f>
        <v>10</v>
      </c>
      <c r="C31" s="5" t="s">
        <v>124</v>
      </c>
    </row>
    <row r="32" customFormat="false" ht="15" hidden="false" customHeight="false" outlineLevel="0" collapsed="false">
      <c r="A32" s="5" t="s">
        <v>126</v>
      </c>
      <c r="B32" s="18" t="n">
        <f aca="false">MES_CROSSING</f>
        <v>6</v>
      </c>
      <c r="C32" s="5" t="s">
        <v>127</v>
      </c>
    </row>
    <row r="34" customFormat="false" ht="15" hidden="false" customHeight="false" outlineLevel="0" collapsed="false">
      <c r="A34" s="9" t="s">
        <v>128</v>
      </c>
    </row>
    <row r="35" customFormat="false" ht="15" hidden="false" customHeight="false" outlineLevel="0" collapsed="false">
      <c r="A35" s="5" t="s">
        <v>129</v>
      </c>
    </row>
    <row r="37" customFormat="false" ht="15" hidden="false" customHeight="false" outlineLevel="0" collapsed="false">
      <c r="A37" s="9" t="s">
        <v>130</v>
      </c>
    </row>
    <row r="38" customFormat="false" ht="15" hidden="false" customHeight="false" outlineLevel="0" collapsed="false">
      <c r="A38" s="5" t="s">
        <v>131</v>
      </c>
    </row>
    <row r="40" customFormat="false" ht="15" hidden="false" customHeight="false" outlineLevel="0" collapsed="false">
      <c r="A40" s="9" t="s">
        <v>132</v>
      </c>
    </row>
    <row r="41" customFormat="false" ht="15" hidden="false" customHeight="false" outlineLevel="0" collapsed="false">
      <c r="A41" s="2" t="s">
        <v>133</v>
      </c>
      <c r="B41" s="2" t="s">
        <v>101</v>
      </c>
    </row>
    <row r="42" customFormat="false" ht="15" hidden="false" customHeight="false" outlineLevel="0" collapsed="false">
      <c r="A42" s="5" t="s">
        <v>134</v>
      </c>
      <c r="B42" s="20" t="b">
        <f aca="false">TOM_BEDS&lt;=TOM_CAP</f>
        <v>1</v>
      </c>
    </row>
    <row r="43" customFormat="false" ht="15" hidden="false" customHeight="false" outlineLevel="0" collapsed="false">
      <c r="A43" s="5" t="s">
        <v>135</v>
      </c>
      <c r="B43" s="20" t="b">
        <f aca="false">CAR_BEDS&lt;=CAR_CAP</f>
        <v>1</v>
      </c>
    </row>
    <row r="44" customFormat="false" ht="15" hidden="false" customHeight="false" outlineLevel="0" collapsed="false">
      <c r="A44" s="5" t="s">
        <v>136</v>
      </c>
      <c r="B44" s="20" t="b">
        <f aca="false">MES_BEDS&lt;=MES_CAP</f>
        <v>1</v>
      </c>
    </row>
    <row r="45" customFormat="false" ht="15" hidden="false" customHeight="false" outlineLevel="0" collapsed="false">
      <c r="A45" s="5" t="s">
        <v>137</v>
      </c>
      <c r="B45" s="20" t="b">
        <f aca="false">(TOM_BEDS+CAR_BEDS+MES_BEDS)&lt;=TOTAL_BEDS</f>
        <v>1</v>
      </c>
    </row>
    <row r="46" customFormat="false" ht="15" hidden="false" customHeight="false" outlineLevel="0" collapsed="false">
      <c r="A46" s="5" t="s">
        <v>138</v>
      </c>
      <c r="B46" s="20" t="b">
        <f aca="false">TEMP_HRS_USED&lt;=(MAX_WORKERS*WORKER_HRS)</f>
        <v>1</v>
      </c>
    </row>
    <row r="47" customFormat="false" ht="15" hidden="false" customHeight="false" outlineLevel="0" collapsed="false">
      <c r="A47" s="5" t="s">
        <v>139</v>
      </c>
      <c r="B47" s="20" t="b">
        <f aca="false">TOM_BEDS&gt;=0</f>
        <v>1</v>
      </c>
    </row>
    <row r="48" customFormat="false" ht="15" hidden="false" customHeight="false" outlineLevel="0" collapsed="false">
      <c r="A48" s="5" t="s">
        <v>140</v>
      </c>
      <c r="B48" s="20" t="b">
        <f aca="false">CAR_BEDS&gt;=0</f>
        <v>1</v>
      </c>
    </row>
    <row r="49" customFormat="false" ht="15" hidden="false" customHeight="false" outlineLevel="0" collapsed="false">
      <c r="A49" s="5" t="s">
        <v>141</v>
      </c>
      <c r="B49" s="20" t="b">
        <f aca="false">MES_BEDS&gt;=0</f>
        <v>1</v>
      </c>
    </row>
    <row r="50" customFormat="false" ht="15" hidden="false" customHeight="false" outlineLevel="0" collapsed="false">
      <c r="A50" s="5" t="s">
        <v>142</v>
      </c>
      <c r="B50" s="20" t="b">
        <f aca="false">TOM_BEDS=ROUND(TOM_BEDS,0)</f>
        <v>1</v>
      </c>
    </row>
    <row r="51" customFormat="false" ht="15" hidden="false" customHeight="false" outlineLevel="0" collapsed="false">
      <c r="A51" s="5" t="s">
        <v>143</v>
      </c>
      <c r="B51" s="20" t="b">
        <f aca="false">CAR_BEDS=ROUND(CAR_BEDS,0)</f>
        <v>1</v>
      </c>
    </row>
    <row r="52" customFormat="false" ht="15" hidden="false" customHeight="false" outlineLevel="0" collapsed="false">
      <c r="A52" s="5" t="s">
        <v>144</v>
      </c>
      <c r="B52" s="20" t="b">
        <f aca="false">MES_BEDS=ROUND(MES_BEDS,0)</f>
        <v>1</v>
      </c>
    </row>
  </sheetData>
  <conditionalFormatting sqref="B7">
    <cfRule type="cellIs" priority="2" operator="equal" aboveAverage="0" equalAverage="0" bottom="0" percent="0" rank="0" text="" dxfId="0">
      <formula>1</formula>
    </cfRule>
    <cfRule type="cellIs" priority="3" operator="equal" aboveAverage="0" equalAverage="0" bottom="0" percent="0" rank="0" text="" dxfId="1">
      <formula>0</formula>
    </cfRule>
  </conditionalFormatting>
  <conditionalFormatting sqref="B13">
    <cfRule type="cellIs" priority="4" operator="equal" aboveAverage="0" equalAverage="0" bottom="0" percent="0" rank="0" text="" dxfId="0">
      <formula>1</formula>
    </cfRule>
    <cfRule type="cellIs" priority="5" operator="equal" aboveAverage="0" equalAverage="0" bottom="0" percent="0" rank="0" text="" dxfId="1">
      <formula>0</formula>
    </cfRule>
  </conditionalFormatting>
  <conditionalFormatting sqref="B21">
    <cfRule type="cellIs" priority="6" operator="equal" aboveAverage="0" equalAverage="0" bottom="0" percent="0" rank="0" text="" dxfId="0">
      <formula>1</formula>
    </cfRule>
    <cfRule type="cellIs" priority="7" operator="equal" aboveAverage="0" equalAverage="0" bottom="0" percent="0" rank="0" text="" dxfId="1">
      <formula>0</formula>
    </cfRule>
  </conditionalFormatting>
  <conditionalFormatting sqref="B22">
    <cfRule type="cellIs" priority="8" operator="equal" aboveAverage="0" equalAverage="0" bottom="0" percent="0" rank="0" text="" dxfId="0">
      <formula>1</formula>
    </cfRule>
    <cfRule type="cellIs" priority="9" operator="equal" aboveAverage="0" equalAverage="0" bottom="0" percent="0" rank="0" text="" dxfId="1">
      <formula>0</formula>
    </cfRule>
  </conditionalFormatting>
  <conditionalFormatting sqref="D26">
    <cfRule type="cellIs" priority="10" operator="equal" aboveAverage="0" equalAverage="0" bottom="0" percent="0" rank="0" text="" dxfId="0">
      <formula>1</formula>
    </cfRule>
    <cfRule type="cellIs" priority="11" operator="equal" aboveAverage="0" equalAverage="0" bottom="0" percent="0" rank="0" text="" dxfId="1">
      <formula>0</formula>
    </cfRule>
  </conditionalFormatting>
  <conditionalFormatting sqref="D27">
    <cfRule type="cellIs" priority="12" operator="equal" aboveAverage="0" equalAverage="0" bottom="0" percent="0" rank="0" text="" dxfId="0">
      <formula>1</formula>
    </cfRule>
    <cfRule type="cellIs" priority="13" operator="equal" aboveAverage="0" equalAverage="0" bottom="0" percent="0" rank="0" text="" dxfId="1">
      <formula>0</formula>
    </cfRule>
  </conditionalFormatting>
  <conditionalFormatting sqref="D28">
    <cfRule type="cellIs" priority="14" operator="equal" aboveAverage="0" equalAverage="0" bottom="0" percent="0" rank="0" text="" dxfId="0">
      <formula>1</formula>
    </cfRule>
    <cfRule type="cellIs" priority="15" operator="equal" aboveAverage="0" equalAverage="0" bottom="0" percent="0" rank="0" text="" dxfId="1">
      <formula>0</formula>
    </cfRule>
  </conditionalFormatting>
  <conditionalFormatting sqref="D29">
    <cfRule type="cellIs" priority="16" operator="equal" aboveAverage="0" equalAverage="0" bottom="0" percent="0" rank="0" text="" dxfId="0">
      <formula>1</formula>
    </cfRule>
    <cfRule type="cellIs" priority="17" operator="equal" aboveAverage="0" equalAverage="0" bottom="0" percent="0" rank="0" text="" dxfId="1">
      <formula>0</formula>
    </cfRule>
  </conditionalFormatting>
  <conditionalFormatting sqref="B42">
    <cfRule type="cellIs" priority="18" operator="equal" aboveAverage="0" equalAverage="0" bottom="0" percent="0" rank="0" text="" dxfId="0">
      <formula>1</formula>
    </cfRule>
    <cfRule type="cellIs" priority="19" operator="equal" aboveAverage="0" equalAverage="0" bottom="0" percent="0" rank="0" text="" dxfId="1">
      <formula>0</formula>
    </cfRule>
  </conditionalFormatting>
  <conditionalFormatting sqref="B43">
    <cfRule type="cellIs" priority="20" operator="equal" aboveAverage="0" equalAverage="0" bottom="0" percent="0" rank="0" text="" dxfId="0">
      <formula>1</formula>
    </cfRule>
    <cfRule type="cellIs" priority="21" operator="equal" aboveAverage="0" equalAverage="0" bottom="0" percent="0" rank="0" text="" dxfId="1">
      <formula>0</formula>
    </cfRule>
  </conditionalFormatting>
  <conditionalFormatting sqref="B44">
    <cfRule type="cellIs" priority="22" operator="equal" aboveAverage="0" equalAverage="0" bottom="0" percent="0" rank="0" text="" dxfId="0">
      <formula>1</formula>
    </cfRule>
    <cfRule type="cellIs" priority="23" operator="equal" aboveAverage="0" equalAverage="0" bottom="0" percent="0" rank="0" text="" dxfId="1">
      <formula>0</formula>
    </cfRule>
  </conditionalFormatting>
  <conditionalFormatting sqref="B45">
    <cfRule type="cellIs" priority="24" operator="equal" aboveAverage="0" equalAverage="0" bottom="0" percent="0" rank="0" text="" dxfId="0">
      <formula>1</formula>
    </cfRule>
    <cfRule type="cellIs" priority="25" operator="equal" aboveAverage="0" equalAverage="0" bottom="0" percent="0" rank="0" text="" dxfId="1">
      <formula>0</formula>
    </cfRule>
  </conditionalFormatting>
  <conditionalFormatting sqref="B46">
    <cfRule type="cellIs" priority="26" operator="equal" aboveAverage="0" equalAverage="0" bottom="0" percent="0" rank="0" text="" dxfId="0">
      <formula>1</formula>
    </cfRule>
    <cfRule type="cellIs" priority="27" operator="equal" aboveAverage="0" equalAverage="0" bottom="0" percent="0" rank="0" text="" dxfId="1">
      <formula>0</formula>
    </cfRule>
  </conditionalFormatting>
  <conditionalFormatting sqref="B47">
    <cfRule type="cellIs" priority="28" operator="equal" aboveAverage="0" equalAverage="0" bottom="0" percent="0" rank="0" text="" dxfId="0">
      <formula>1</formula>
    </cfRule>
    <cfRule type="cellIs" priority="29" operator="equal" aboveAverage="0" equalAverage="0" bottom="0" percent="0" rank="0" text="" dxfId="1">
      <formula>0</formula>
    </cfRule>
  </conditionalFormatting>
  <conditionalFormatting sqref="B48">
    <cfRule type="cellIs" priority="30" operator="equal" aboveAverage="0" equalAverage="0" bottom="0" percent="0" rank="0" text="" dxfId="0">
      <formula>1</formula>
    </cfRule>
    <cfRule type="cellIs" priority="31" operator="equal" aboveAverage="0" equalAverage="0" bottom="0" percent="0" rank="0" text="" dxfId="1">
      <formula>0</formula>
    </cfRule>
  </conditionalFormatting>
  <conditionalFormatting sqref="B49">
    <cfRule type="cellIs" priority="32" operator="equal" aboveAverage="0" equalAverage="0" bottom="0" percent="0" rank="0" text="" dxfId="0">
      <formula>1</formula>
    </cfRule>
    <cfRule type="cellIs" priority="33" operator="equal" aboveAverage="0" equalAverage="0" bottom="0" percent="0" rank="0" text="" dxfId="1">
      <formula>0</formula>
    </cfRule>
  </conditionalFormatting>
  <conditionalFormatting sqref="B50">
    <cfRule type="cellIs" priority="34" operator="equal" aboveAverage="0" equalAverage="0" bottom="0" percent="0" rank="0" text="" dxfId="0">
      <formula>1</formula>
    </cfRule>
    <cfRule type="cellIs" priority="35" operator="equal" aboveAverage="0" equalAverage="0" bottom="0" percent="0" rank="0" text="" dxfId="1">
      <formula>0</formula>
    </cfRule>
  </conditionalFormatting>
  <conditionalFormatting sqref="B51">
    <cfRule type="cellIs" priority="36" operator="equal" aboveAverage="0" equalAverage="0" bottom="0" percent="0" rank="0" text="" dxfId="0">
      <formula>1</formula>
    </cfRule>
    <cfRule type="cellIs" priority="37" operator="equal" aboveAverage="0" equalAverage="0" bottom="0" percent="0" rank="0" text="" dxfId="1">
      <formula>0</formula>
    </cfRule>
  </conditionalFormatting>
  <conditionalFormatting sqref="B52">
    <cfRule type="cellIs" priority="38" operator="equal" aboveAverage="0" equalAverage="0" bottom="0" percent="0" rank="0" text="" dxfId="0">
      <formula>1</formula>
    </cfRule>
    <cfRule type="cellIs" priority="3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2026-09-15T03:52:24Z</dcterms:created>
  <dc:creator>openpyxl</dc:creator>
  <dc:description/>
  <dc:language>en-US</dc:language>
  <cp:lastModifiedBy/>
  <dcterms:modified xsi:type="dcterms:W3CDTF">2026-09-15T03:52:24Z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