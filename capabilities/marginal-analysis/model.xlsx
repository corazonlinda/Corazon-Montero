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orazonlindamontero/Desktop/DLEMBA/Econ/"/>
    </mc:Choice>
  </mc:AlternateContent>
  <xr:revisionPtr revIDLastSave="0" documentId="8_{1FA38535-2F92-D742-A3C1-61999EF29A9D}" xr6:coauthVersionLast="47" xr6:coauthVersionMax="47" xr10:uidLastSave="{00000000-0000-0000-0000-000000000000}"/>
  <bookViews>
    <workbookView xWindow="0" yWindow="500" windowWidth="15740" windowHeight="16260" tabRatio="500" activeTab="4" xr2:uid="{00000000-000D-0000-FFFF-FFFF00000000}"/>
  </bookViews>
  <sheets>
    <sheet name="Inputs" sheetId="1" r:id="rId1"/>
    <sheet name="Optimization" sheetId="2" r:id="rId2"/>
    <sheet name="Cost Structure" sheetId="3" r:id="rId3"/>
    <sheet name="Marginal Cost Schedules" sheetId="4" r:id="rId4"/>
    <sheet name="Checks" sheetId="5" r:id="rId5"/>
  </sheets>
  <definedNames>
    <definedName name="BLENDED_RATE">'Cost Structure'!$B$10</definedName>
    <definedName name="CAR_BEDS">Optimization!$B$5</definedName>
    <definedName name="CAR_CAP">Inputs!$B$10</definedName>
    <definedName name="CAR_CROSSING">'Marginal Cost Schedules'!$B$55</definedName>
    <definedName name="CAR_DIM">Inputs!$B$13</definedName>
    <definedName name="CAR_FERT">Inputs!$B$12</definedName>
    <definedName name="CAR_HRS">Inputs!$B$11</definedName>
    <definedName name="CAR_PRICE">Inputs!$B$9</definedName>
    <definedName name="FARMER_HRS_USED">'Cost Structure'!$B$7</definedName>
    <definedName name="FERT_COST_CAR">'Cost Structure'!$C$5</definedName>
    <definedName name="FERT_COST_MES">'Cost Structure'!$D$5</definedName>
    <definedName name="FERT_COST_TOM">'Cost Structure'!$B$5</definedName>
    <definedName name="FIXED_COST">Inputs!$B$20</definedName>
    <definedName name="LABOR_COST_CAR">'Cost Structure'!$C$12</definedName>
    <definedName name="LABOR_COST_MES">'Cost Structure'!$D$12</definedName>
    <definedName name="LABOR_COST_TOM">'Cost Structure'!$B$12</definedName>
    <definedName name="LABOR_HRS_CAR">'Cost Structure'!$C$4</definedName>
    <definedName name="LABOR_HRS_MES">'Cost Structure'!$D$4</definedName>
    <definedName name="LABOR_HRS_TOM">'Cost Structure'!$B$4</definedName>
    <definedName name="MAX_WORKERS">Inputs!$B$24</definedName>
    <definedName name="MC_CAR">'Marginal Cost Schedules'!$I$34:$I$53</definedName>
    <definedName name="MC_MES">'Marginal Cost Schedules'!$I$61:$I$90</definedName>
    <definedName name="MC_TOM">'Marginal Cost Schedules'!$I$7:$I$26</definedName>
    <definedName name="MES_BEDS">Optimization!$B$6</definedName>
    <definedName name="MES_CAP">Inputs!$B$15</definedName>
    <definedName name="MES_CROSSING">'Marginal Cost Schedules'!$B$92</definedName>
    <definedName name="MES_DIM">Inputs!$B$18</definedName>
    <definedName name="MES_FERT">Inputs!$B$17</definedName>
    <definedName name="MES_HRS">Inputs!$B$16</definedName>
    <definedName name="MES_PRICE">Inputs!$B$14</definedName>
    <definedName name="OWN_HRS">Inputs!$B$22</definedName>
    <definedName name="OWN_RATE">Inputs!$B$23</definedName>
    <definedName name="PROFIT">Optimization!$B$22</definedName>
    <definedName name="REVENUE_CAR">Optimization!$B$10</definedName>
    <definedName name="REVENUE_MES">Optimization!$B$11</definedName>
    <definedName name="REVENUE_TOM">Optimization!$B$9</definedName>
    <definedName name="solver_adj" localSheetId="1" hidden="1">Optimization!$B$4:$B$6</definedName>
    <definedName name="solver_cvg" localSheetId="1" hidden="1">0.0000001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1" hidden="1">2147483647</definedName>
    <definedName name="solver_lhs1" localSheetId="1" hidden="1">Optimization!$B$36</definedName>
    <definedName name="solver_lhs2" localSheetId="1" hidden="1">Optimization!$B$38</definedName>
    <definedName name="solver_lhs3" localSheetId="1" hidden="1">Optimization!$B$4:$B$6</definedName>
    <definedName name="solver_lhs4" localSheetId="1" hidden="1">Optimization!$B$5</definedName>
    <definedName name="solver_lhs5" localSheetId="1" hidden="1">Optimization!$B$6</definedName>
    <definedName name="solver_lhs6" localSheetId="1" hidden="1">Optimization!$B$4</definedName>
    <definedName name="solver_lin" localSheetId="0" hidden="1">2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6</definedName>
    <definedName name="solver_opt" localSheetId="0" hidden="1">Inputs!$E$5</definedName>
    <definedName name="solver_opt" localSheetId="1" hidden="1">Optimization!$B$22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4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hs1" localSheetId="1" hidden="1">Optimization!$B$35</definedName>
    <definedName name="solver_rhs2" localSheetId="1" hidden="1">Optimization!$B$37</definedName>
    <definedName name="solver_rhs3" localSheetId="1" hidden="1">"integer"</definedName>
    <definedName name="solver_rhs4" localSheetId="1" hidden="1">Optimization!$B$33</definedName>
    <definedName name="solver_rhs5" localSheetId="1" hidden="1">Optimization!$B$34</definedName>
    <definedName name="solver_rhs6" localSheetId="1" hidden="1">Optimization!$B$32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  <definedName name="TEMP_HRS_USED">'Cost Structure'!$B$8</definedName>
    <definedName name="TOM_BEDS">Optimization!$B$4</definedName>
    <definedName name="TOM_CAP">Inputs!$B$5</definedName>
    <definedName name="TOM_CROSSING">'Marginal Cost Schedules'!$B$28</definedName>
    <definedName name="TOM_DIM">Inputs!$B$8</definedName>
    <definedName name="TOM_FERT">Inputs!$B$7</definedName>
    <definedName name="TOM_HRS">Inputs!$B$6</definedName>
    <definedName name="TOM_PRICE">Inputs!$B$4</definedName>
    <definedName name="TOTAL_BEDS">Inputs!$B$21</definedName>
    <definedName name="TOTAL_COST">Optimization!$B$19</definedName>
    <definedName name="TOTAL_FERT_COST">'Cost Structure'!$E$5</definedName>
    <definedName name="TOTAL_HRS">'Cost Structure'!$E$4</definedName>
    <definedName name="TOTAL_LABOR_DOLLARS">'Cost Structure'!$B$9</definedName>
    <definedName name="TOTAL_REVENUE">Optimization!$B$12</definedName>
    <definedName name="TOTAL_VARIABLE_COST">Optimization!$B$17</definedName>
    <definedName name="WEEKS">Inputs!$B$19</definedName>
    <definedName name="WORKER_HRS">Inputs!$B$25</definedName>
    <definedName name="WORKER_RATE">Inputs!$B$26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1" l="1"/>
  <c r="B23" i="1"/>
  <c r="B11" i="1"/>
  <c r="J90" i="4"/>
  <c r="G90" i="4"/>
  <c r="D90" i="4"/>
  <c r="C90" i="4"/>
  <c r="E90" i="4" s="1"/>
  <c r="H90" i="4" s="1"/>
  <c r="B90" i="4"/>
  <c r="J89" i="4"/>
  <c r="G89" i="4"/>
  <c r="C89" i="4"/>
  <c r="B89" i="4"/>
  <c r="D89" i="4" s="1"/>
  <c r="J88" i="4"/>
  <c r="G88" i="4"/>
  <c r="E88" i="4"/>
  <c r="H88" i="4" s="1"/>
  <c r="D88" i="4"/>
  <c r="C88" i="4"/>
  <c r="B88" i="4"/>
  <c r="J87" i="4"/>
  <c r="G87" i="4"/>
  <c r="B87" i="4"/>
  <c r="J86" i="4"/>
  <c r="G86" i="4"/>
  <c r="D86" i="4"/>
  <c r="C86" i="4"/>
  <c r="E86" i="4" s="1"/>
  <c r="B86" i="4"/>
  <c r="J85" i="4"/>
  <c r="G85" i="4"/>
  <c r="C85" i="4"/>
  <c r="E85" i="4" s="1"/>
  <c r="B85" i="4"/>
  <c r="D85" i="4" s="1"/>
  <c r="J84" i="4"/>
  <c r="H84" i="4"/>
  <c r="G84" i="4"/>
  <c r="E84" i="4"/>
  <c r="D84" i="4"/>
  <c r="C84" i="4"/>
  <c r="B84" i="4"/>
  <c r="F84" i="4" s="1"/>
  <c r="J83" i="4"/>
  <c r="G83" i="4"/>
  <c r="B83" i="4"/>
  <c r="J82" i="4"/>
  <c r="G82" i="4"/>
  <c r="D82" i="4"/>
  <c r="C82" i="4"/>
  <c r="E82" i="4" s="1"/>
  <c r="H82" i="4" s="1"/>
  <c r="B82" i="4"/>
  <c r="J81" i="4"/>
  <c r="G81" i="4"/>
  <c r="C81" i="4"/>
  <c r="B81" i="4"/>
  <c r="D81" i="4" s="1"/>
  <c r="J80" i="4"/>
  <c r="G80" i="4"/>
  <c r="E80" i="4"/>
  <c r="H80" i="4" s="1"/>
  <c r="D80" i="4"/>
  <c r="C80" i="4"/>
  <c r="B80" i="4"/>
  <c r="F80" i="4" s="1"/>
  <c r="J79" i="4"/>
  <c r="G79" i="4"/>
  <c r="B79" i="4"/>
  <c r="J78" i="4"/>
  <c r="G78" i="4"/>
  <c r="D78" i="4"/>
  <c r="C78" i="4"/>
  <c r="E78" i="4" s="1"/>
  <c r="H78" i="4" s="1"/>
  <c r="B78" i="4"/>
  <c r="J77" i="4"/>
  <c r="G77" i="4"/>
  <c r="C77" i="4"/>
  <c r="B77" i="4"/>
  <c r="D77" i="4" s="1"/>
  <c r="J76" i="4"/>
  <c r="G76" i="4"/>
  <c r="E76" i="4"/>
  <c r="H76" i="4" s="1"/>
  <c r="D76" i="4"/>
  <c r="C76" i="4"/>
  <c r="B76" i="4"/>
  <c r="J75" i="4"/>
  <c r="G75" i="4"/>
  <c r="B75" i="4"/>
  <c r="J74" i="4"/>
  <c r="G74" i="4"/>
  <c r="D74" i="4"/>
  <c r="C74" i="4"/>
  <c r="E74" i="4" s="1"/>
  <c r="H74" i="4" s="1"/>
  <c r="B74" i="4"/>
  <c r="J73" i="4"/>
  <c r="G73" i="4"/>
  <c r="C73" i="4"/>
  <c r="B73" i="4"/>
  <c r="D73" i="4" s="1"/>
  <c r="J72" i="4"/>
  <c r="G72" i="4"/>
  <c r="E72" i="4"/>
  <c r="H72" i="4" s="1"/>
  <c r="D72" i="4"/>
  <c r="C72" i="4"/>
  <c r="B72" i="4"/>
  <c r="J71" i="4"/>
  <c r="G71" i="4"/>
  <c r="B71" i="4"/>
  <c r="J70" i="4"/>
  <c r="G70" i="4"/>
  <c r="D70" i="4"/>
  <c r="C70" i="4"/>
  <c r="E70" i="4" s="1"/>
  <c r="H70" i="4" s="1"/>
  <c r="B70" i="4"/>
  <c r="J69" i="4"/>
  <c r="G69" i="4"/>
  <c r="C69" i="4"/>
  <c r="B69" i="4"/>
  <c r="D69" i="4" s="1"/>
  <c r="J68" i="4"/>
  <c r="G68" i="4"/>
  <c r="E68" i="4"/>
  <c r="H68" i="4" s="1"/>
  <c r="D68" i="4"/>
  <c r="C68" i="4"/>
  <c r="B68" i="4"/>
  <c r="J67" i="4"/>
  <c r="G67" i="4"/>
  <c r="B67" i="4"/>
  <c r="J66" i="4"/>
  <c r="G66" i="4"/>
  <c r="D66" i="4"/>
  <c r="C66" i="4"/>
  <c r="E66" i="4" s="1"/>
  <c r="H66" i="4" s="1"/>
  <c r="B66" i="4"/>
  <c r="J65" i="4"/>
  <c r="G65" i="4"/>
  <c r="C65" i="4"/>
  <c r="E65" i="4" s="1"/>
  <c r="B65" i="4"/>
  <c r="D65" i="4" s="1"/>
  <c r="J64" i="4"/>
  <c r="G64" i="4"/>
  <c r="E64" i="4"/>
  <c r="H64" i="4" s="1"/>
  <c r="D64" i="4"/>
  <c r="C64" i="4"/>
  <c r="B64" i="4"/>
  <c r="F64" i="4" s="1"/>
  <c r="J63" i="4"/>
  <c r="G63" i="4"/>
  <c r="B63" i="4"/>
  <c r="J62" i="4"/>
  <c r="G62" i="4"/>
  <c r="D62" i="4"/>
  <c r="C62" i="4"/>
  <c r="E62" i="4" s="1"/>
  <c r="H62" i="4" s="1"/>
  <c r="B62" i="4"/>
  <c r="F62" i="4" s="1"/>
  <c r="J61" i="4"/>
  <c r="G61" i="4"/>
  <c r="C61" i="4"/>
  <c r="B61" i="4"/>
  <c r="D61" i="4" s="1"/>
  <c r="J60" i="4"/>
  <c r="G60" i="4"/>
  <c r="F60" i="4"/>
  <c r="C60" i="4"/>
  <c r="E60" i="4" s="1"/>
  <c r="H60" i="4" s="1"/>
  <c r="B60" i="4"/>
  <c r="D60" i="4" s="1"/>
  <c r="J53" i="4"/>
  <c r="G53" i="4"/>
  <c r="B53" i="4"/>
  <c r="C53" i="4" s="1"/>
  <c r="J52" i="4"/>
  <c r="G52" i="4"/>
  <c r="B52" i="4"/>
  <c r="D52" i="4" s="1"/>
  <c r="J51" i="4"/>
  <c r="G51" i="4"/>
  <c r="B51" i="4"/>
  <c r="D51" i="4" s="1"/>
  <c r="J50" i="4"/>
  <c r="G50" i="4"/>
  <c r="B50" i="4"/>
  <c r="J49" i="4"/>
  <c r="G49" i="4"/>
  <c r="B49" i="4"/>
  <c r="C49" i="4" s="1"/>
  <c r="J48" i="4"/>
  <c r="G48" i="4"/>
  <c r="B48" i="4"/>
  <c r="D48" i="4" s="1"/>
  <c r="J47" i="4"/>
  <c r="G47" i="4"/>
  <c r="B47" i="4"/>
  <c r="D47" i="4" s="1"/>
  <c r="J46" i="4"/>
  <c r="G46" i="4"/>
  <c r="B46" i="4"/>
  <c r="J45" i="4"/>
  <c r="G45" i="4"/>
  <c r="B45" i="4"/>
  <c r="C45" i="4" s="1"/>
  <c r="J44" i="4"/>
  <c r="G44" i="4"/>
  <c r="B44" i="4"/>
  <c r="D44" i="4" s="1"/>
  <c r="J43" i="4"/>
  <c r="G43" i="4"/>
  <c r="B43" i="4"/>
  <c r="D43" i="4" s="1"/>
  <c r="J42" i="4"/>
  <c r="G42" i="4"/>
  <c r="B42" i="4"/>
  <c r="J41" i="4"/>
  <c r="G41" i="4"/>
  <c r="B41" i="4"/>
  <c r="C41" i="4" s="1"/>
  <c r="J40" i="4"/>
  <c r="G40" i="4"/>
  <c r="B40" i="4"/>
  <c r="D40" i="4" s="1"/>
  <c r="J39" i="4"/>
  <c r="G39" i="4"/>
  <c r="B39" i="4"/>
  <c r="D39" i="4" s="1"/>
  <c r="J38" i="4"/>
  <c r="G38" i="4"/>
  <c r="B38" i="4"/>
  <c r="J37" i="4"/>
  <c r="G37" i="4"/>
  <c r="B37" i="4"/>
  <c r="C37" i="4" s="1"/>
  <c r="J36" i="4"/>
  <c r="G36" i="4"/>
  <c r="B36" i="4"/>
  <c r="J35" i="4"/>
  <c r="G35" i="4"/>
  <c r="B35" i="4"/>
  <c r="C35" i="4" s="1"/>
  <c r="J34" i="4"/>
  <c r="G34" i="4"/>
  <c r="B34" i="4"/>
  <c r="D34" i="4" s="1"/>
  <c r="J33" i="4"/>
  <c r="G33" i="4"/>
  <c r="B33" i="4"/>
  <c r="D33" i="4" s="1"/>
  <c r="J26" i="4"/>
  <c r="G26" i="4"/>
  <c r="B26" i="4"/>
  <c r="J25" i="4"/>
  <c r="G25" i="4"/>
  <c r="D25" i="4"/>
  <c r="C25" i="4"/>
  <c r="E25" i="4" s="1"/>
  <c r="H25" i="4" s="1"/>
  <c r="B25" i="4"/>
  <c r="J24" i="4"/>
  <c r="G24" i="4"/>
  <c r="C24" i="4"/>
  <c r="B24" i="4"/>
  <c r="D24" i="4" s="1"/>
  <c r="E24" i="4" s="1"/>
  <c r="J23" i="4"/>
  <c r="G23" i="4"/>
  <c r="B23" i="4"/>
  <c r="J22" i="4"/>
  <c r="G22" i="4"/>
  <c r="D22" i="4"/>
  <c r="B22" i="4"/>
  <c r="J21" i="4"/>
  <c r="G21" i="4"/>
  <c r="D21" i="4"/>
  <c r="C21" i="4"/>
  <c r="E21" i="4" s="1"/>
  <c r="H21" i="4" s="1"/>
  <c r="B21" i="4"/>
  <c r="J20" i="4"/>
  <c r="G20" i="4"/>
  <c r="C20" i="4"/>
  <c r="B20" i="4"/>
  <c r="D20" i="4" s="1"/>
  <c r="E20" i="4" s="1"/>
  <c r="J19" i="4"/>
  <c r="G19" i="4"/>
  <c r="B19" i="4"/>
  <c r="J18" i="4"/>
  <c r="G18" i="4"/>
  <c r="B18" i="4"/>
  <c r="D18" i="4" s="1"/>
  <c r="J17" i="4"/>
  <c r="G17" i="4"/>
  <c r="D17" i="4"/>
  <c r="C17" i="4"/>
  <c r="B17" i="4"/>
  <c r="J16" i="4"/>
  <c r="G16" i="4"/>
  <c r="C16" i="4"/>
  <c r="B16" i="4"/>
  <c r="D16" i="4" s="1"/>
  <c r="E16" i="4" s="1"/>
  <c r="J15" i="4"/>
  <c r="G15" i="4"/>
  <c r="B15" i="4"/>
  <c r="J14" i="4"/>
  <c r="G14" i="4"/>
  <c r="B14" i="4"/>
  <c r="D14" i="4" s="1"/>
  <c r="J13" i="4"/>
  <c r="G13" i="4"/>
  <c r="D13" i="4"/>
  <c r="C13" i="4"/>
  <c r="E13" i="4" s="1"/>
  <c r="H13" i="4" s="1"/>
  <c r="B13" i="4"/>
  <c r="J12" i="4"/>
  <c r="G12" i="4"/>
  <c r="E12" i="4"/>
  <c r="H12" i="4" s="1"/>
  <c r="C12" i="4"/>
  <c r="B12" i="4"/>
  <c r="D12" i="4" s="1"/>
  <c r="J11" i="4"/>
  <c r="G11" i="4"/>
  <c r="B11" i="4"/>
  <c r="J10" i="4"/>
  <c r="G10" i="4"/>
  <c r="D10" i="4"/>
  <c r="B10" i="4"/>
  <c r="J9" i="4"/>
  <c r="G9" i="4"/>
  <c r="D9" i="4"/>
  <c r="C9" i="4"/>
  <c r="B9" i="4"/>
  <c r="J8" i="4"/>
  <c r="G8" i="4"/>
  <c r="E8" i="4"/>
  <c r="F8" i="4" s="1"/>
  <c r="C8" i="4"/>
  <c r="B8" i="4"/>
  <c r="D8" i="4" s="1"/>
  <c r="J7" i="4"/>
  <c r="G7" i="4"/>
  <c r="C7" i="4"/>
  <c r="B7" i="4"/>
  <c r="J6" i="4"/>
  <c r="G6" i="4"/>
  <c r="B6" i="4"/>
  <c r="D5" i="3"/>
  <c r="C5" i="3"/>
  <c r="B5" i="3"/>
  <c r="E5" i="3" s="1"/>
  <c r="B16" i="2" s="1"/>
  <c r="D4" i="3"/>
  <c r="C4" i="3"/>
  <c r="B4" i="3"/>
  <c r="B37" i="2"/>
  <c r="B36" i="2"/>
  <c r="B35" i="2"/>
  <c r="B34" i="2"/>
  <c r="B33" i="2"/>
  <c r="B32" i="2"/>
  <c r="B18" i="2"/>
  <c r="B11" i="2"/>
  <c r="B10" i="2"/>
  <c r="B9" i="2"/>
  <c r="B52" i="5"/>
  <c r="B51" i="5"/>
  <c r="B50" i="5"/>
  <c r="B49" i="5"/>
  <c r="B48" i="5"/>
  <c r="B47" i="5"/>
  <c r="B45" i="5"/>
  <c r="B44" i="5"/>
  <c r="B43" i="5"/>
  <c r="B42" i="5"/>
  <c r="B28" i="5"/>
  <c r="D28" i="5" s="1"/>
  <c r="D27" i="5"/>
  <c r="B27" i="5"/>
  <c r="D26" i="5"/>
  <c r="B26" i="5"/>
  <c r="B22" i="5"/>
  <c r="B21" i="5"/>
  <c r="B5" i="5"/>
  <c r="B7" i="5" s="1"/>
  <c r="F13" i="4" l="1"/>
  <c r="F72" i="4"/>
  <c r="E89" i="4"/>
  <c r="F89" i="4" s="1"/>
  <c r="H8" i="4"/>
  <c r="F12" i="4"/>
  <c r="F76" i="4"/>
  <c r="F88" i="4"/>
  <c r="F66" i="4"/>
  <c r="F68" i="4"/>
  <c r="C48" i="4"/>
  <c r="E48" i="4" s="1"/>
  <c r="H48" i="4" s="1"/>
  <c r="D41" i="4"/>
  <c r="E4" i="3"/>
  <c r="B7" i="3" s="1"/>
  <c r="B9" i="3" s="1"/>
  <c r="B15" i="2" s="1"/>
  <c r="B17" i="2" s="1"/>
  <c r="B19" i="2" s="1"/>
  <c r="D49" i="4"/>
  <c r="D35" i="4"/>
  <c r="E35" i="4" s="1"/>
  <c r="H35" i="4" s="1"/>
  <c r="C44" i="4"/>
  <c r="D45" i="4"/>
  <c r="E45" i="4" s="1"/>
  <c r="C52" i="4"/>
  <c r="E52" i="4" s="1"/>
  <c r="H52" i="4" s="1"/>
  <c r="D37" i="4"/>
  <c r="E37" i="4" s="1"/>
  <c r="H37" i="4" s="1"/>
  <c r="D53" i="4"/>
  <c r="E53" i="4" s="1"/>
  <c r="H53" i="4" s="1"/>
  <c r="F33" i="4"/>
  <c r="E49" i="4"/>
  <c r="F49" i="4" s="1"/>
  <c r="C40" i="4"/>
  <c r="E41" i="4"/>
  <c r="H41" i="4" s="1"/>
  <c r="H20" i="4"/>
  <c r="I21" i="4" s="1"/>
  <c r="K21" i="4" s="1"/>
  <c r="F20" i="4"/>
  <c r="H24" i="4"/>
  <c r="F24" i="4"/>
  <c r="H16" i="4"/>
  <c r="F16" i="4"/>
  <c r="F6" i="4"/>
  <c r="D6" i="4"/>
  <c r="E69" i="4"/>
  <c r="H86" i="4"/>
  <c r="F86" i="4"/>
  <c r="C10" i="4"/>
  <c r="E10" i="4" s="1"/>
  <c r="H10" i="4" s="1"/>
  <c r="E17" i="4"/>
  <c r="F25" i="4"/>
  <c r="E40" i="4"/>
  <c r="E44" i="4"/>
  <c r="F78" i="4"/>
  <c r="E81" i="4"/>
  <c r="I13" i="4"/>
  <c r="K13" i="4" s="1"/>
  <c r="F21" i="4"/>
  <c r="E61" i="4"/>
  <c r="F90" i="4"/>
  <c r="D36" i="4"/>
  <c r="E9" i="4"/>
  <c r="C23" i="4"/>
  <c r="D23" i="4"/>
  <c r="F70" i="4"/>
  <c r="E73" i="4"/>
  <c r="C6" i="4"/>
  <c r="E6" i="4" s="1"/>
  <c r="H6" i="4" s="1"/>
  <c r="C14" i="4"/>
  <c r="E14" i="4" s="1"/>
  <c r="H14" i="4" s="1"/>
  <c r="I14" i="4" s="1"/>
  <c r="K14" i="4" s="1"/>
  <c r="C36" i="4"/>
  <c r="D7" i="4"/>
  <c r="D19" i="4"/>
  <c r="C19" i="4"/>
  <c r="E19" i="4" s="1"/>
  <c r="H19" i="4" s="1"/>
  <c r="F82" i="4"/>
  <c r="H85" i="4"/>
  <c r="I85" i="4" s="1"/>
  <c r="K85" i="4" s="1"/>
  <c r="F85" i="4"/>
  <c r="C18" i="4"/>
  <c r="E18" i="4" s="1"/>
  <c r="H18" i="4" s="1"/>
  <c r="I25" i="4"/>
  <c r="K25" i="4" s="1"/>
  <c r="H89" i="4"/>
  <c r="I89" i="4" s="1"/>
  <c r="K89" i="4" s="1"/>
  <c r="B8" i="3"/>
  <c r="E7" i="4"/>
  <c r="H7" i="4" s="1"/>
  <c r="C15" i="4"/>
  <c r="E15" i="4" s="1"/>
  <c r="H15" i="4" s="1"/>
  <c r="D15" i="4"/>
  <c r="C26" i="4"/>
  <c r="E26" i="4" s="1"/>
  <c r="H26" i="4" s="1"/>
  <c r="I26" i="4" s="1"/>
  <c r="K26" i="4" s="1"/>
  <c r="H65" i="4"/>
  <c r="I65" i="4" s="1"/>
  <c r="K65" i="4" s="1"/>
  <c r="F65" i="4"/>
  <c r="B12" i="2"/>
  <c r="C11" i="4"/>
  <c r="D11" i="4"/>
  <c r="C22" i="4"/>
  <c r="E22" i="4" s="1"/>
  <c r="H22" i="4" s="1"/>
  <c r="I22" i="4" s="1"/>
  <c r="K22" i="4" s="1"/>
  <c r="D26" i="4"/>
  <c r="F74" i="4"/>
  <c r="E77" i="4"/>
  <c r="F35" i="4"/>
  <c r="C63" i="4"/>
  <c r="E63" i="4" s="1"/>
  <c r="H63" i="4" s="1"/>
  <c r="I63" i="4" s="1"/>
  <c r="K63" i="4" s="1"/>
  <c r="C67" i="4"/>
  <c r="E67" i="4" s="1"/>
  <c r="H67" i="4" s="1"/>
  <c r="I67" i="4" s="1"/>
  <c r="K67" i="4" s="1"/>
  <c r="C71" i="4"/>
  <c r="E71" i="4" s="1"/>
  <c r="H71" i="4" s="1"/>
  <c r="I71" i="4" s="1"/>
  <c r="K71" i="4" s="1"/>
  <c r="C75" i="4"/>
  <c r="C79" i="4"/>
  <c r="C83" i="4"/>
  <c r="E83" i="4" s="1"/>
  <c r="H83" i="4" s="1"/>
  <c r="I83" i="4" s="1"/>
  <c r="K83" i="4" s="1"/>
  <c r="C87" i="4"/>
  <c r="E87" i="4" s="1"/>
  <c r="H87" i="4" s="1"/>
  <c r="I88" i="4" s="1"/>
  <c r="K88" i="4" s="1"/>
  <c r="D63" i="4"/>
  <c r="D67" i="4"/>
  <c r="D71" i="4"/>
  <c r="D75" i="4"/>
  <c r="D79" i="4"/>
  <c r="D83" i="4"/>
  <c r="D87" i="4"/>
  <c r="C33" i="4"/>
  <c r="E33" i="4" s="1"/>
  <c r="H33" i="4" s="1"/>
  <c r="C34" i="4"/>
  <c r="E34" i="4" s="1"/>
  <c r="C38" i="4"/>
  <c r="C42" i="4"/>
  <c r="C46" i="4"/>
  <c r="C50" i="4"/>
  <c r="D38" i="4"/>
  <c r="D42" i="4"/>
  <c r="D46" i="4"/>
  <c r="D50" i="4"/>
  <c r="C39" i="4"/>
  <c r="E39" i="4" s="1"/>
  <c r="H39" i="4" s="1"/>
  <c r="C43" i="4"/>
  <c r="E43" i="4" s="1"/>
  <c r="H43" i="4" s="1"/>
  <c r="C47" i="4"/>
  <c r="E47" i="4" s="1"/>
  <c r="H47" i="4" s="1"/>
  <c r="C51" i="4"/>
  <c r="E51" i="4" s="1"/>
  <c r="H51" i="4" s="1"/>
  <c r="I15" i="4" l="1"/>
  <c r="K15" i="4" s="1"/>
  <c r="I7" i="4"/>
  <c r="K7" i="4" s="1"/>
  <c r="I19" i="4"/>
  <c r="K19" i="4" s="1"/>
  <c r="F51" i="4"/>
  <c r="F52" i="4"/>
  <c r="F87" i="4"/>
  <c r="F53" i="4"/>
  <c r="F48" i="4"/>
  <c r="F22" i="4"/>
  <c r="F37" i="4"/>
  <c r="H45" i="4"/>
  <c r="I45" i="4" s="1"/>
  <c r="K45" i="4" s="1"/>
  <c r="F45" i="4"/>
  <c r="H49" i="4"/>
  <c r="E46" i="4"/>
  <c r="H46" i="4" s="1"/>
  <c r="E42" i="4"/>
  <c r="H42" i="4" s="1"/>
  <c r="I42" i="4" s="1"/>
  <c r="K42" i="4" s="1"/>
  <c r="F41" i="4"/>
  <c r="E38" i="4"/>
  <c r="H38" i="4" s="1"/>
  <c r="I38" i="4" s="1"/>
  <c r="K38" i="4" s="1"/>
  <c r="I39" i="4"/>
  <c r="K39" i="4" s="1"/>
  <c r="I49" i="4"/>
  <c r="K49" i="4" s="1"/>
  <c r="I52" i="4"/>
  <c r="K52" i="4" s="1"/>
  <c r="I90" i="4"/>
  <c r="K90" i="4" s="1"/>
  <c r="B46" i="5"/>
  <c r="B38" i="2"/>
  <c r="H44" i="4"/>
  <c r="I44" i="4" s="1"/>
  <c r="K44" i="4" s="1"/>
  <c r="F44" i="4"/>
  <c r="B22" i="2"/>
  <c r="B29" i="5" s="1"/>
  <c r="D29" i="5" s="1"/>
  <c r="B10" i="3"/>
  <c r="H40" i="4"/>
  <c r="I40" i="4" s="1"/>
  <c r="K40" i="4" s="1"/>
  <c r="F40" i="4"/>
  <c r="F71" i="4"/>
  <c r="I72" i="4"/>
  <c r="K72" i="4" s="1"/>
  <c r="H81" i="4"/>
  <c r="F81" i="4"/>
  <c r="F10" i="4"/>
  <c r="E11" i="4"/>
  <c r="I53" i="4"/>
  <c r="K53" i="4" s="1"/>
  <c r="I66" i="4"/>
  <c r="K66" i="4" s="1"/>
  <c r="I16" i="4"/>
  <c r="I48" i="4"/>
  <c r="K48" i="4" s="1"/>
  <c r="E36" i="4"/>
  <c r="I68" i="4"/>
  <c r="K68" i="4" s="1"/>
  <c r="F19" i="4"/>
  <c r="F38" i="4"/>
  <c r="H69" i="4"/>
  <c r="F69" i="4"/>
  <c r="H61" i="4"/>
  <c r="F61" i="4"/>
  <c r="F15" i="4"/>
  <c r="H77" i="4"/>
  <c r="F77" i="4"/>
  <c r="H34" i="4"/>
  <c r="F34" i="4"/>
  <c r="H73" i="4"/>
  <c r="F73" i="4"/>
  <c r="I87" i="4"/>
  <c r="K87" i="4" s="1"/>
  <c r="F47" i="4"/>
  <c r="F43" i="4"/>
  <c r="E79" i="4"/>
  <c r="F39" i="4"/>
  <c r="F67" i="4"/>
  <c r="F26" i="4"/>
  <c r="F18" i="4"/>
  <c r="F14" i="4"/>
  <c r="E23" i="4"/>
  <c r="I64" i="4"/>
  <c r="K64" i="4" s="1"/>
  <c r="I84" i="4"/>
  <c r="K84" i="4" s="1"/>
  <c r="I20" i="4"/>
  <c r="K20" i="4" s="1"/>
  <c r="H9" i="4"/>
  <c r="I9" i="4" s="1"/>
  <c r="K9" i="4" s="1"/>
  <c r="F9" i="4"/>
  <c r="I86" i="4"/>
  <c r="K86" i="4" s="1"/>
  <c r="E50" i="4"/>
  <c r="E75" i="4"/>
  <c r="F7" i="4"/>
  <c r="F63" i="4"/>
  <c r="F83" i="4"/>
  <c r="H17" i="4"/>
  <c r="I17" i="4" s="1"/>
  <c r="K17" i="4" s="1"/>
  <c r="F17" i="4"/>
  <c r="I8" i="4"/>
  <c r="K8" i="4" s="1"/>
  <c r="F46" i="4" l="1"/>
  <c r="I46" i="4"/>
  <c r="K46" i="4" s="1"/>
  <c r="I43" i="4"/>
  <c r="K43" i="4" s="1"/>
  <c r="I47" i="4"/>
  <c r="K47" i="4" s="1"/>
  <c r="F42" i="4"/>
  <c r="I34" i="4"/>
  <c r="K34" i="4" s="1"/>
  <c r="I35" i="4"/>
  <c r="K35" i="4" s="1"/>
  <c r="H11" i="4"/>
  <c r="F11" i="4"/>
  <c r="I61" i="4"/>
  <c r="K61" i="4" s="1"/>
  <c r="I62" i="4"/>
  <c r="K62" i="4" s="1"/>
  <c r="I69" i="4"/>
  <c r="K69" i="4" s="1"/>
  <c r="I70" i="4"/>
  <c r="K70" i="4" s="1"/>
  <c r="H79" i="4"/>
  <c r="F79" i="4"/>
  <c r="H23" i="4"/>
  <c r="F23" i="4"/>
  <c r="I77" i="4"/>
  <c r="K77" i="4" s="1"/>
  <c r="I78" i="4"/>
  <c r="K78" i="4" s="1"/>
  <c r="I18" i="4"/>
  <c r="K18" i="4" s="1"/>
  <c r="C12" i="3"/>
  <c r="D12" i="3"/>
  <c r="B12" i="3"/>
  <c r="K16" i="4"/>
  <c r="B10" i="5"/>
  <c r="B12" i="5" s="1"/>
  <c r="B13" i="5" s="1"/>
  <c r="H75" i="4"/>
  <c r="F75" i="4"/>
  <c r="H50" i="4"/>
  <c r="F50" i="4"/>
  <c r="I41" i="4"/>
  <c r="K41" i="4" s="1"/>
  <c r="I10" i="4"/>
  <c r="K10" i="4" s="1"/>
  <c r="I73" i="4"/>
  <c r="K73" i="4" s="1"/>
  <c r="I74" i="4"/>
  <c r="K74" i="4" s="1"/>
  <c r="H36" i="4"/>
  <c r="F36" i="4"/>
  <c r="I81" i="4"/>
  <c r="K81" i="4" s="1"/>
  <c r="I82" i="4"/>
  <c r="K82" i="4" s="1"/>
  <c r="I36" i="4" l="1"/>
  <c r="K36" i="4" s="1"/>
  <c r="I37" i="4"/>
  <c r="K37" i="4" s="1"/>
  <c r="B92" i="4"/>
  <c r="B32" i="5" s="1"/>
  <c r="I79" i="4"/>
  <c r="K79" i="4" s="1"/>
  <c r="I80" i="4"/>
  <c r="K80" i="4" s="1"/>
  <c r="I50" i="4"/>
  <c r="K50" i="4" s="1"/>
  <c r="I51" i="4"/>
  <c r="K51" i="4" s="1"/>
  <c r="I75" i="4"/>
  <c r="K75" i="4" s="1"/>
  <c r="I76" i="4"/>
  <c r="K76" i="4" s="1"/>
  <c r="I23" i="4"/>
  <c r="K23" i="4" s="1"/>
  <c r="I24" i="4"/>
  <c r="K24" i="4" s="1"/>
  <c r="I11" i="4"/>
  <c r="K11" i="4" s="1"/>
  <c r="I12" i="4"/>
  <c r="K12" i="4" s="1"/>
  <c r="B55" i="4" l="1"/>
  <c r="B31" i="5" s="1"/>
  <c r="B28" i="4"/>
  <c r="B30" i="5" s="1"/>
</calcChain>
</file>

<file path=xl/sharedStrings.xml><?xml version="1.0" encoding="utf-8"?>
<sst xmlns="http://schemas.openxmlformats.org/spreadsheetml/2006/main" count="215" uniqueCount="152">
  <si>
    <t>Inputs</t>
  </si>
  <si>
    <t>Name</t>
  </si>
  <si>
    <t>Value</t>
  </si>
  <si>
    <t>Unit</t>
  </si>
  <si>
    <t>Source</t>
  </si>
  <si>
    <t>TOM_PRICE</t>
  </si>
  <si>
    <t>USD per bed</t>
  </si>
  <si>
    <t>Case scenario, crop table</t>
  </si>
  <si>
    <t>TOM_CAP</t>
  </si>
  <si>
    <t>beds</t>
  </si>
  <si>
    <t>TOM_HRS</t>
  </si>
  <si>
    <t>hours per week per bed</t>
  </si>
  <si>
    <t>TOM_FERT</t>
  </si>
  <si>
    <t>TOM_DIM</t>
  </si>
  <si>
    <t>decimal</t>
  </si>
  <si>
    <t>CAR_PRICE</t>
  </si>
  <si>
    <t>CAR_CAP</t>
  </si>
  <si>
    <t>CAR_HRS</t>
  </si>
  <si>
    <t>CAR_FERT</t>
  </si>
  <si>
    <t>CAR_DIM</t>
  </si>
  <si>
    <t>MES_PRICE</t>
  </si>
  <si>
    <t>MES_CAP</t>
  </si>
  <si>
    <t>MES_HRS</t>
  </si>
  <si>
    <t>MES_FERT</t>
  </si>
  <si>
    <t>MES_DIM</t>
  </si>
  <si>
    <t>WEEKS</t>
  </si>
  <si>
    <t>weeks</t>
  </si>
  <si>
    <t>Case scenario, farm table</t>
  </si>
  <si>
    <t>FIXED_COST</t>
  </si>
  <si>
    <t>USD per season</t>
  </si>
  <si>
    <t>TOTAL_BEDS</t>
  </si>
  <si>
    <t>OWN_HRS</t>
  </si>
  <si>
    <t>hours</t>
  </si>
  <si>
    <t>OWN_RATE</t>
  </si>
  <si>
    <t>USD per hour</t>
  </si>
  <si>
    <t>MAX_WORKERS</t>
  </si>
  <si>
    <t>workers</t>
  </si>
  <si>
    <t>WORKER_HRS</t>
  </si>
  <si>
    <t>hours per worker</t>
  </si>
  <si>
    <t>WORKER_RATE</t>
  </si>
  <si>
    <t>Optimization</t>
  </si>
  <si>
    <t>Decision Variables (Solver Changing Cells)</t>
  </si>
  <si>
    <t>Tomato Beds (TOM_BEDS)</t>
  </si>
  <si>
    <t>Carrot Beds (CAR_BEDS)</t>
  </si>
  <si>
    <t>Mesclun Beds (MES_BEDS)</t>
  </si>
  <si>
    <t>Revenue</t>
  </si>
  <si>
    <t>Tomato Revenue (REVENUE_TOM)</t>
  </si>
  <si>
    <t>Carrot Revenue (REVENUE_CAR)</t>
  </si>
  <si>
    <t>Mesclun Revenue (REVENUE_MES)</t>
  </si>
  <si>
    <t>Total Revenue (TOTAL_REVENUE)</t>
  </si>
  <si>
    <t>Costs</t>
  </si>
  <si>
    <t>Total Labor Dollars</t>
  </si>
  <si>
    <t>Total Fertilizer Cost</t>
  </si>
  <si>
    <t>Total Variable Cost (TOTAL_VARIABLE_COST)</t>
  </si>
  <si>
    <t>Fixed Cost</t>
  </si>
  <si>
    <t>Total Cost (TOTAL_COST)</t>
  </si>
  <si>
    <t>Profit</t>
  </si>
  <si>
    <t>Season Profit (PROFIT) — Solver objective cell</t>
  </si>
  <si>
    <t>Solver Setup</t>
  </si>
  <si>
    <t>Objective: Maximize B22 (PROFIT)</t>
  </si>
  <si>
    <t>By Changing Variable Cells: B4:B6 (TOM_BEDS, CAR_BEDS, MES_BEDS)</t>
  </si>
  <si>
    <t>Constraints: see 'Checks' tab, section 7</t>
  </si>
  <si>
    <t>Solving Method: GRG Nonlinear</t>
  </si>
  <si>
    <t>Make Unconstrained Variables Non-Negative: checked</t>
  </si>
  <si>
    <t>TOM_BEDS, CAR_BEDS, MES_BEDS must be set to 'int' (integer) in Solver constraints</t>
  </si>
  <si>
    <t>Tomato Cap</t>
  </si>
  <si>
    <t>Carrot Cap</t>
  </si>
  <si>
    <t>Mesclun Cap</t>
  </si>
  <si>
    <t>Total Beds</t>
  </si>
  <si>
    <t>Total Beds Planted</t>
  </si>
  <si>
    <t>Max Temp Labor Hours</t>
  </si>
  <si>
    <t>Temp Hours Used (link)</t>
  </si>
  <si>
    <t>Cost Structure</t>
  </si>
  <si>
    <t>Metric</t>
  </si>
  <si>
    <t>Tomato</t>
  </si>
  <si>
    <t>Carrot</t>
  </si>
  <si>
    <t>Mesclun</t>
  </si>
  <si>
    <t>Farm Total</t>
  </si>
  <si>
    <t>Labor Hours</t>
  </si>
  <si>
    <t>Fertilizer Cost</t>
  </si>
  <si>
    <t>Farmer Hours Used (FARMER_HRS_USED)</t>
  </si>
  <si>
    <t>Temporary Hours Used (TEMP_HRS_USED)</t>
  </si>
  <si>
    <t>Total Labor Dollars (TOTAL_LABOR_DOLLARS)</t>
  </si>
  <si>
    <t>Blended Labor Rate (BLENDED_RATE)</t>
  </si>
  <si>
    <t>Labor Cost per Crop (uses BLENDED_RATE)</t>
  </si>
  <si>
    <t>Marginal Cost Schedules</t>
  </si>
  <si>
    <t>Each schedule is standalone: computed assuming the other two crops have zero beds (see spec.md, Calculation Logic section 9).</t>
  </si>
  <si>
    <t>Tomatoes</t>
  </si>
  <si>
    <t>q</t>
  </si>
  <si>
    <t>LABOR_HRS(q)</t>
  </si>
  <si>
    <t>Standalone Farmer Hrs</t>
  </si>
  <si>
    <t>Standalone Temp Hrs</t>
  </si>
  <si>
    <t>Standalone Labor $</t>
  </si>
  <si>
    <t>Standalone Blended Rate</t>
  </si>
  <si>
    <t>Total Cost</t>
  </si>
  <si>
    <t>Marginal Cost MC(q)</t>
  </si>
  <si>
    <t>Revenue per Bed</t>
  </si>
  <si>
    <t>MC &gt;= Price?</t>
  </si>
  <si>
    <t>n/a — reference point only</t>
  </si>
  <si>
    <t>TOM_CROSSING (last q with MC below price; falls back to bed cap if never crosses)</t>
  </si>
  <si>
    <t>Carrots</t>
  </si>
  <si>
    <t>CAR_CROSSING (last q with MC below price; falls back to bed cap if never crosses)</t>
  </si>
  <si>
    <t>MES_CROSSING (last q with MC below price; falls back to bed cap if never crosses)</t>
  </si>
  <si>
    <t>Checks</t>
  </si>
  <si>
    <t>Run every check below before accepting the model's results. Yellow cells need you to fill in a value.</t>
  </si>
  <si>
    <t>1. Hand check at q = 1</t>
  </si>
  <si>
    <t>LABOR_HRS_TOM(1), computed by the workbook</t>
  </si>
  <si>
    <t>Expected value (hand calculation: 1 x 2.5 x 36 x 1.10)</t>
  </si>
  <si>
    <t>Pass?</t>
  </si>
  <si>
    <t>2. Farm Profit Lab cross-check</t>
  </si>
  <si>
    <t>My MC_TOM(10)</t>
  </si>
  <si>
    <t>Farm Profit Lab value for MC_TOM(10) — fill in</t>
  </si>
  <si>
    <t>Difference</t>
  </si>
  <si>
    <t>Pass? (within $1.00)</t>
  </si>
  <si>
    <t>3. Two Solver starting points — run Solver twice in Excel, then record results here</t>
  </si>
  <si>
    <t>Run 1 (start 0/0/0)</t>
  </si>
  <si>
    <t>Run 2 (start 20/0/0)</t>
  </si>
  <si>
    <t>TOM_BEDS result</t>
  </si>
  <si>
    <t>CAR_BEDS result</t>
  </si>
  <si>
    <t>MES_BEDS result</t>
  </si>
  <si>
    <t>PROFIT result</t>
  </si>
  <si>
    <t>Same crop mix in both runs?</t>
  </si>
  <si>
    <t>Profit matches within $0.01?</t>
  </si>
  <si>
    <t>4. Published check figures</t>
  </si>
  <si>
    <t>Actual</t>
  </si>
  <si>
    <t>Published</t>
  </si>
  <si>
    <t>TOM_BEDS</t>
  </si>
  <si>
    <t>CAR_BEDS</t>
  </si>
  <si>
    <t>MES_BEDS</t>
  </si>
  <si>
    <t>PROFIT</t>
  </si>
  <si>
    <t>TOM_CROSSING (standalone, ~10 published)</t>
  </si>
  <si>
    <t>~10</t>
  </si>
  <si>
    <t>CAR_CROSSING (standalone, ~10 published)</t>
  </si>
  <si>
    <t>MES_CROSSING (standalone, ~6 published)</t>
  </si>
  <si>
    <t>~6</t>
  </si>
  <si>
    <t>5. No error cells</t>
  </si>
  <si>
    <t>Manually scan every tab for reference, divide-by-zero, or name errors before accepting results.</t>
  </si>
  <si>
    <t>6. Formulas instead of typed-in answers</t>
  </si>
  <si>
    <t>Spot-check that calculated cells (LABOR_HRS_*, MC_*, PROFIT, costs, revenue) contain formulas referencing named ranges, not typed numbers.</t>
  </si>
  <si>
    <t>7. Constraint checks</t>
  </si>
  <si>
    <t>Constraint</t>
  </si>
  <si>
    <t>TOM_BEDS &lt;= TOM_CAP</t>
  </si>
  <si>
    <t>CAR_BEDS &lt;= CAR_CAP</t>
  </si>
  <si>
    <t>MES_BEDS &lt;= MES_CAP</t>
  </si>
  <si>
    <t>TOM_BEDS + CAR_BEDS + MES_BEDS &lt;= TOTAL_BEDS</t>
  </si>
  <si>
    <t>TEMP_HRS_USED &lt;= MAX_WORKERS * WORKER_HRS</t>
  </si>
  <si>
    <t>TOM_BEDS &gt;= 0</t>
  </si>
  <si>
    <t>CAR_BEDS &gt;= 0</t>
  </si>
  <si>
    <t>MES_BEDS &gt;= 0</t>
  </si>
  <si>
    <t>TOM_BEDS is an integer</t>
  </si>
  <si>
    <t>CAR_BEDS is an integer</t>
  </si>
  <si>
    <t>MES_BEDS is an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</si>
</sst>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&quot;($&quot;#,##0.00\)"/>
  </numFmts>
  <fonts count="8">
    <font>
      <sz val="11"/>
      <color theme="1"/>
      <name val="Calibri"/>
      <family val="2"/>
      <charset val="1"/>
    </font>
    <font>
      <b/>
      <sz val="1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name val="Arial"/>
      <family val="2"/>
      <charset val="1"/>
    </font>
    <font>
      <sz val="14"/>
      <name val="-webkit-standard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" fontId="4" fillId="0" borderId="0" xfId="0" applyNumberFormat="1" applyFont="1"/>
    <xf numFmtId="4" fontId="4" fillId="0" borderId="0" xfId="0" applyNumberFormat="1" applyFont="1"/>
    <xf numFmtId="10" fontId="4" fillId="0" borderId="0" xfId="0" applyNumberFormat="1" applyFont="1"/>
    <xf numFmtId="0" fontId="6" fillId="0" borderId="0" xfId="0" applyFont="1"/>
    <xf numFmtId="1" fontId="4" fillId="3" borderId="0" xfId="0" applyNumberFormat="1" applyFont="1" applyFill="1"/>
    <xf numFmtId="164" fontId="5" fillId="0" borderId="0" xfId="0" applyNumberFormat="1" applyFont="1"/>
    <xf numFmtId="164" fontId="3" fillId="0" borderId="0" xfId="0" applyNumberFormat="1" applyFont="1"/>
    <xf numFmtId="164" fontId="3" fillId="4" borderId="0" xfId="0" applyNumberFormat="1" applyFont="1" applyFill="1"/>
    <xf numFmtId="1" fontId="0" fillId="0" borderId="0" xfId="0" applyNumberFormat="1"/>
    <xf numFmtId="4" fontId="0" fillId="0" borderId="0" xfId="0" applyNumberFormat="1"/>
    <xf numFmtId="4" fontId="5" fillId="0" borderId="0" xfId="0" applyNumberFormat="1" applyFont="1"/>
    <xf numFmtId="4" fontId="3" fillId="0" borderId="0" xfId="0" applyNumberFormat="1" applyFont="1"/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1" fontId="5" fillId="0" borderId="0" xfId="0" applyNumberFormat="1" applyFont="1"/>
    <xf numFmtId="1" fontId="3" fillId="4" borderId="0" xfId="0" applyNumberFormat="1" applyFont="1" applyFill="1"/>
    <xf numFmtId="164" fontId="4" fillId="3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Normal="100" workbookViewId="0">
      <selection activeCell="E5" sqref="E5"/>
    </sheetView>
  </sheetViews>
  <sheetFormatPr baseColWidth="10" defaultColWidth="8.5" defaultRowHeight="15"/>
  <cols>
    <col min="1" max="1" width="16" customWidth="1"/>
    <col min="2" max="2" width="12" customWidth="1"/>
    <col min="3" max="3" width="26" customWidth="1"/>
    <col min="4" max="4" width="28" customWidth="1"/>
  </cols>
  <sheetData>
    <row r="1" spans="1:4" ht="18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8800</v>
      </c>
      <c r="C4" s="5" t="s">
        <v>6</v>
      </c>
      <c r="D4" s="5" t="s">
        <v>7</v>
      </c>
    </row>
    <row r="5" spans="1:4">
      <c r="A5" s="3" t="s">
        <v>8</v>
      </c>
      <c r="B5" s="6">
        <v>20</v>
      </c>
      <c r="C5" s="5" t="s">
        <v>9</v>
      </c>
      <c r="D5" s="5" t="s">
        <v>7</v>
      </c>
    </row>
    <row r="6" spans="1:4">
      <c r="A6" s="3" t="s">
        <v>10</v>
      </c>
      <c r="B6" s="7">
        <v>2.5</v>
      </c>
      <c r="C6" s="5" t="s">
        <v>11</v>
      </c>
      <c r="D6" s="5" t="s">
        <v>7</v>
      </c>
    </row>
    <row r="7" spans="1:4">
      <c r="A7" s="3" t="s">
        <v>12</v>
      </c>
      <c r="B7" s="4">
        <v>880</v>
      </c>
      <c r="C7" s="5" t="s">
        <v>6</v>
      </c>
      <c r="D7" s="5" t="s">
        <v>7</v>
      </c>
    </row>
    <row r="8" spans="1:4">
      <c r="A8" s="3" t="s">
        <v>13</v>
      </c>
      <c r="B8" s="8">
        <v>0.1</v>
      </c>
      <c r="C8" s="5" t="s">
        <v>14</v>
      </c>
      <c r="D8" s="5" t="s">
        <v>7</v>
      </c>
    </row>
    <row r="9" spans="1:4">
      <c r="A9" s="3" t="s">
        <v>15</v>
      </c>
      <c r="B9" s="4">
        <v>2094</v>
      </c>
      <c r="C9" s="5" t="s">
        <v>6</v>
      </c>
      <c r="D9" s="5" t="s">
        <v>7</v>
      </c>
    </row>
    <row r="10" spans="1:4">
      <c r="A10" s="3" t="s">
        <v>16</v>
      </c>
      <c r="B10" s="6">
        <v>20</v>
      </c>
      <c r="C10" s="5" t="s">
        <v>9</v>
      </c>
      <c r="D10" s="5" t="s">
        <v>7</v>
      </c>
    </row>
    <row r="11" spans="1:4" ht="18">
      <c r="A11" s="3" t="s">
        <v>17</v>
      </c>
      <c r="B11" s="23">
        <f>2.5/3</f>
        <v>0.83333333333333337</v>
      </c>
      <c r="C11" s="5" t="s">
        <v>11</v>
      </c>
      <c r="D11" s="5" t="s">
        <v>7</v>
      </c>
    </row>
    <row r="12" spans="1:4">
      <c r="A12" s="3" t="s">
        <v>18</v>
      </c>
      <c r="B12" s="4">
        <v>440</v>
      </c>
      <c r="C12" s="5" t="s">
        <v>6</v>
      </c>
      <c r="D12" s="5" t="s">
        <v>7</v>
      </c>
    </row>
    <row r="13" spans="1:4">
      <c r="A13" s="3" t="s">
        <v>19</v>
      </c>
      <c r="B13" s="8">
        <v>2.5000000000000001E-2</v>
      </c>
      <c r="C13" s="5" t="s">
        <v>14</v>
      </c>
      <c r="D13" s="5" t="s">
        <v>7</v>
      </c>
    </row>
    <row r="14" spans="1:4">
      <c r="A14" s="3" t="s">
        <v>20</v>
      </c>
      <c r="B14" s="4">
        <v>2700</v>
      </c>
      <c r="C14" s="5" t="s">
        <v>6</v>
      </c>
      <c r="D14" s="5" t="s">
        <v>7</v>
      </c>
    </row>
    <row r="15" spans="1:4">
      <c r="A15" s="3" t="s">
        <v>21</v>
      </c>
      <c r="B15" s="6">
        <v>30</v>
      </c>
      <c r="C15" s="5" t="s">
        <v>9</v>
      </c>
      <c r="D15" s="5" t="s">
        <v>7</v>
      </c>
    </row>
    <row r="16" spans="1:4">
      <c r="A16" s="3" t="s">
        <v>22</v>
      </c>
      <c r="B16" s="7">
        <v>1.25</v>
      </c>
      <c r="C16" s="5" t="s">
        <v>11</v>
      </c>
      <c r="D16" s="5" t="s">
        <v>7</v>
      </c>
    </row>
    <row r="17" spans="1:4">
      <c r="A17" s="3" t="s">
        <v>23</v>
      </c>
      <c r="B17" s="4">
        <v>880</v>
      </c>
      <c r="C17" s="5" t="s">
        <v>6</v>
      </c>
      <c r="D17" s="5" t="s">
        <v>7</v>
      </c>
    </row>
    <row r="18" spans="1:4">
      <c r="A18" s="3" t="s">
        <v>24</v>
      </c>
      <c r="B18" s="8">
        <v>1.2500000000000001E-2</v>
      </c>
      <c r="C18" s="5" t="s">
        <v>14</v>
      </c>
      <c r="D18" s="5" t="s">
        <v>7</v>
      </c>
    </row>
    <row r="19" spans="1:4">
      <c r="A19" s="3" t="s">
        <v>25</v>
      </c>
      <c r="B19" s="6">
        <v>36</v>
      </c>
      <c r="C19" s="5" t="s">
        <v>26</v>
      </c>
      <c r="D19" s="5" t="s">
        <v>27</v>
      </c>
    </row>
    <row r="20" spans="1:4">
      <c r="A20" s="3" t="s">
        <v>28</v>
      </c>
      <c r="B20" s="4">
        <v>20000</v>
      </c>
      <c r="C20" s="5" t="s">
        <v>29</v>
      </c>
      <c r="D20" s="5" t="s">
        <v>27</v>
      </c>
    </row>
    <row r="21" spans="1:4">
      <c r="A21" s="3" t="s">
        <v>30</v>
      </c>
      <c r="B21" s="6">
        <v>64</v>
      </c>
      <c r="C21" s="5" t="s">
        <v>9</v>
      </c>
      <c r="D21" s="5" t="s">
        <v>27</v>
      </c>
    </row>
    <row r="22" spans="1:4">
      <c r="A22" s="3" t="s">
        <v>31</v>
      </c>
      <c r="B22" s="7">
        <v>720</v>
      </c>
      <c r="C22" s="5" t="s">
        <v>32</v>
      </c>
      <c r="D22" s="5" t="s">
        <v>27</v>
      </c>
    </row>
    <row r="23" spans="1:4">
      <c r="A23" s="3" t="s">
        <v>33</v>
      </c>
      <c r="B23" s="4">
        <f>50000/1440</f>
        <v>34.722222222222221</v>
      </c>
      <c r="C23" s="5" t="s">
        <v>34</v>
      </c>
      <c r="D23" s="5" t="s">
        <v>27</v>
      </c>
    </row>
    <row r="24" spans="1:4">
      <c r="A24" s="3" t="s">
        <v>35</v>
      </c>
      <c r="B24" s="6">
        <v>4</v>
      </c>
      <c r="C24" s="5" t="s">
        <v>36</v>
      </c>
      <c r="D24" s="5" t="s">
        <v>27</v>
      </c>
    </row>
    <row r="25" spans="1:4">
      <c r="A25" s="3" t="s">
        <v>37</v>
      </c>
      <c r="B25" s="7">
        <v>1440</v>
      </c>
      <c r="C25" s="5" t="s">
        <v>38</v>
      </c>
      <c r="D25" s="5" t="s">
        <v>27</v>
      </c>
    </row>
    <row r="26" spans="1:4">
      <c r="A26" s="3" t="s">
        <v>39</v>
      </c>
      <c r="B26" s="4">
        <f>25000/1440</f>
        <v>17.361111111111111</v>
      </c>
      <c r="C26" s="5" t="s">
        <v>34</v>
      </c>
      <c r="D26" s="5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zoomScale="89" zoomScaleNormal="89" workbookViewId="0">
      <selection activeCell="B5" sqref="B5"/>
    </sheetView>
  </sheetViews>
  <sheetFormatPr baseColWidth="10" defaultColWidth="8.5" defaultRowHeight="15"/>
  <cols>
    <col min="1" max="1" width="44" customWidth="1"/>
    <col min="2" max="2" width="14" customWidth="1"/>
  </cols>
  <sheetData>
    <row r="1" spans="1:2" ht="18">
      <c r="A1" s="1" t="s">
        <v>40</v>
      </c>
    </row>
    <row r="3" spans="1:2" ht="16">
      <c r="A3" s="9" t="s">
        <v>41</v>
      </c>
    </row>
    <row r="4" spans="1:2">
      <c r="A4" s="3" t="s">
        <v>42</v>
      </c>
      <c r="B4" s="10">
        <v>10</v>
      </c>
    </row>
    <row r="5" spans="1:2">
      <c r="A5" s="3" t="s">
        <v>43</v>
      </c>
      <c r="B5" s="10">
        <v>20</v>
      </c>
    </row>
    <row r="6" spans="1:2">
      <c r="A6" s="3" t="s">
        <v>44</v>
      </c>
      <c r="B6" s="10">
        <v>30</v>
      </c>
    </row>
    <row r="8" spans="1:2" ht="16">
      <c r="A8" s="9" t="s">
        <v>45</v>
      </c>
    </row>
    <row r="9" spans="1:2">
      <c r="A9" s="5" t="s">
        <v>46</v>
      </c>
      <c r="B9" s="11">
        <f>TOM_BEDS*TOM_PRICE</f>
        <v>88000</v>
      </c>
    </row>
    <row r="10" spans="1:2">
      <c r="A10" s="5" t="s">
        <v>47</v>
      </c>
      <c r="B10" s="11">
        <f>CAR_BEDS*CAR_PRICE</f>
        <v>41880</v>
      </c>
    </row>
    <row r="11" spans="1:2">
      <c r="A11" s="5" t="s">
        <v>48</v>
      </c>
      <c r="B11" s="11">
        <f>MES_BEDS*MES_PRICE</f>
        <v>81000</v>
      </c>
    </row>
    <row r="12" spans="1:2">
      <c r="A12" s="3" t="s">
        <v>49</v>
      </c>
      <c r="B12" s="12">
        <f>SUM(B9:B11)</f>
        <v>210880</v>
      </c>
    </row>
    <row r="14" spans="1:2" ht="16">
      <c r="A14" s="9" t="s">
        <v>50</v>
      </c>
    </row>
    <row r="15" spans="1:2">
      <c r="A15" s="5" t="s">
        <v>51</v>
      </c>
      <c r="B15" s="11">
        <f>TOTAL_LABOR_DOLLARS</f>
        <v>104118.335317255</v>
      </c>
    </row>
    <row r="16" spans="1:2">
      <c r="A16" s="5" t="s">
        <v>52</v>
      </c>
      <c r="B16" s="11">
        <f>TOTAL_FERT_COST</f>
        <v>44000</v>
      </c>
    </row>
    <row r="17" spans="1:2">
      <c r="A17" s="5" t="s">
        <v>53</v>
      </c>
      <c r="B17" s="11">
        <f>B15+B16</f>
        <v>148118.335317255</v>
      </c>
    </row>
    <row r="18" spans="1:2">
      <c r="A18" s="5" t="s">
        <v>54</v>
      </c>
      <c r="B18" s="11">
        <f>FIXED_COST</f>
        <v>20000</v>
      </c>
    </row>
    <row r="19" spans="1:2">
      <c r="A19" s="3" t="s">
        <v>55</v>
      </c>
      <c r="B19" s="12">
        <f>B17+B18</f>
        <v>168118.335317255</v>
      </c>
    </row>
    <row r="21" spans="1:2" ht="16">
      <c r="A21" s="9" t="s">
        <v>56</v>
      </c>
    </row>
    <row r="22" spans="1:2">
      <c r="A22" s="3" t="s">
        <v>57</v>
      </c>
      <c r="B22" s="13">
        <f>TOTAL_REVENUE-TOTAL_COST</f>
        <v>42761.664682745002</v>
      </c>
    </row>
    <row r="24" spans="1:2" ht="16">
      <c r="A24" s="9" t="s">
        <v>58</v>
      </c>
    </row>
    <row r="25" spans="1:2">
      <c r="A25" s="5" t="s">
        <v>59</v>
      </c>
    </row>
    <row r="26" spans="1:2">
      <c r="A26" s="5" t="s">
        <v>60</v>
      </c>
    </row>
    <row r="27" spans="1:2">
      <c r="A27" s="5" t="s">
        <v>61</v>
      </c>
    </row>
    <row r="28" spans="1:2">
      <c r="A28" s="5" t="s">
        <v>62</v>
      </c>
    </row>
    <row r="29" spans="1:2">
      <c r="A29" s="5" t="s">
        <v>63</v>
      </c>
    </row>
    <row r="30" spans="1:2">
      <c r="A30" s="5" t="s">
        <v>64</v>
      </c>
    </row>
    <row r="32" spans="1:2">
      <c r="A32" s="5" t="s">
        <v>65</v>
      </c>
      <c r="B32" s="14">
        <f>TOM_CAP</f>
        <v>20</v>
      </c>
    </row>
    <row r="33" spans="1:2">
      <c r="A33" s="5" t="s">
        <v>66</v>
      </c>
      <c r="B33" s="14">
        <f>CAR_CAP</f>
        <v>20</v>
      </c>
    </row>
    <row r="34" spans="1:2">
      <c r="A34" s="5" t="s">
        <v>67</v>
      </c>
      <c r="B34" s="14">
        <f>MES_CAP</f>
        <v>30</v>
      </c>
    </row>
    <row r="35" spans="1:2">
      <c r="A35" s="5" t="s">
        <v>68</v>
      </c>
      <c r="B35" s="14">
        <f>TOTAL_BEDS</f>
        <v>64</v>
      </c>
    </row>
    <row r="36" spans="1:2">
      <c r="A36" s="5" t="s">
        <v>69</v>
      </c>
      <c r="B36">
        <f>TOM_BEDS+CAR_BEDS+MES_BEDS</f>
        <v>60</v>
      </c>
    </row>
    <row r="37" spans="1:2">
      <c r="A37" s="5" t="s">
        <v>70</v>
      </c>
      <c r="B37">
        <f>MAX_WORKERS*WORKER_HRS</f>
        <v>5760</v>
      </c>
    </row>
    <row r="38" spans="1:2">
      <c r="A38" s="5" t="s">
        <v>71</v>
      </c>
      <c r="B38" s="15">
        <f>'Cost Structure'!B8</f>
        <v>4557.2161142738878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zoomScaleNormal="100" workbookViewId="0">
      <selection activeCell="B4" sqref="B4"/>
    </sheetView>
  </sheetViews>
  <sheetFormatPr baseColWidth="10" defaultColWidth="8.5" defaultRowHeight="15"/>
  <cols>
    <col min="1" max="1" width="34" customWidth="1"/>
    <col min="2" max="5" width="16" customWidth="1"/>
  </cols>
  <sheetData>
    <row r="1" spans="1:5" ht="18">
      <c r="A1" s="1" t="s">
        <v>72</v>
      </c>
    </row>
    <row r="3" spans="1:5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</row>
    <row r="4" spans="1:5">
      <c r="A4" s="5" t="s">
        <v>78</v>
      </c>
      <c r="B4" s="16">
        <f>TOM_BEDS*TOM_HRS*WEEKS*(1+TOM_DIM)^TOM_BEDS</f>
        <v>2334.3682140900019</v>
      </c>
      <c r="C4" s="16">
        <f>CAR_BEDS*CAR_HRS*WEEKS*(1+CAR_DIM)^CAR_BEDS</f>
        <v>983.16986417423732</v>
      </c>
      <c r="D4" s="16">
        <f>MES_BEDS*MES_HRS*WEEKS*(1+MES_DIM)^MES_BEDS</f>
        <v>1959.6780360096488</v>
      </c>
      <c r="E4" s="17">
        <f>SUM(B4:D4)</f>
        <v>5277.2161142738878</v>
      </c>
    </row>
    <row r="5" spans="1:5">
      <c r="A5" s="5" t="s">
        <v>79</v>
      </c>
      <c r="B5" s="11">
        <f>TOM_BEDS*TOM_FERT</f>
        <v>8800</v>
      </c>
      <c r="C5" s="11">
        <f>CAR_BEDS*CAR_FERT</f>
        <v>8800</v>
      </c>
      <c r="D5" s="11">
        <f>MES_BEDS*MES_FERT</f>
        <v>26400</v>
      </c>
      <c r="E5" s="12">
        <f>SUM(B5:D5)</f>
        <v>44000</v>
      </c>
    </row>
    <row r="7" spans="1:5">
      <c r="A7" s="5" t="s">
        <v>80</v>
      </c>
      <c r="B7" s="16">
        <f>MIN(TOTAL_HRS,OWN_HRS)</f>
        <v>720</v>
      </c>
    </row>
    <row r="8" spans="1:5">
      <c r="A8" s="5" t="s">
        <v>81</v>
      </c>
      <c r="B8" s="16">
        <f>MAX(TOTAL_HRS-OWN_HRS,0)</f>
        <v>4557.2161142738878</v>
      </c>
    </row>
    <row r="9" spans="1:5">
      <c r="A9" s="3" t="s">
        <v>82</v>
      </c>
      <c r="B9" s="12">
        <f>FARMER_HRS_USED*OWN_RATE+TEMP_HRS_USED*WORKER_RATE</f>
        <v>104118.335317255</v>
      </c>
    </row>
    <row r="10" spans="1:5">
      <c r="A10" s="3" t="s">
        <v>83</v>
      </c>
      <c r="B10" s="12">
        <f>IF(TOTAL_HRS=0,0,TOTAL_LABOR_DOLLARS/TOTAL_HRS)</f>
        <v>19.729784239010844</v>
      </c>
    </row>
    <row r="12" spans="1:5">
      <c r="A12" s="5" t="s">
        <v>84</v>
      </c>
      <c r="B12" s="11">
        <f>LABOR_HRS_TOM*BLENDED_RATE</f>
        <v>46056.581198400811</v>
      </c>
      <c r="C12" s="11">
        <f>LABOR_HRS_CAR*BLENDED_RATE</f>
        <v>19397.7292904553</v>
      </c>
      <c r="D12" s="11">
        <f>LABOR_HRS_MES*BLENDED_RATE</f>
        <v>38664.024828398891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2"/>
  <sheetViews>
    <sheetView zoomScale="44" zoomScaleNormal="90" workbookViewId="0">
      <pane ySplit="1" topLeftCell="A2" activePane="bottomLeft" state="frozen"/>
      <selection pane="bottomLeft" activeCell="I12" sqref="I12"/>
    </sheetView>
  </sheetViews>
  <sheetFormatPr baseColWidth="10" defaultColWidth="8.5" defaultRowHeight="15"/>
  <cols>
    <col min="1" max="1" width="10" customWidth="1"/>
    <col min="2" max="10" width="15" customWidth="1"/>
    <col min="11" max="11" width="12" customWidth="1"/>
  </cols>
  <sheetData>
    <row r="1" spans="1:11" ht="18">
      <c r="A1" s="1" t="s">
        <v>85</v>
      </c>
    </row>
    <row r="2" spans="1:11" ht="225">
      <c r="A2" s="18" t="s">
        <v>86</v>
      </c>
    </row>
    <row r="4" spans="1:11" ht="16">
      <c r="A4" s="9" t="s">
        <v>87</v>
      </c>
    </row>
    <row r="5" spans="1:11" ht="30">
      <c r="A5" s="19" t="s">
        <v>88</v>
      </c>
      <c r="B5" s="19" t="s">
        <v>89</v>
      </c>
      <c r="C5" s="19" t="s">
        <v>90</v>
      </c>
      <c r="D5" s="19" t="s">
        <v>91</v>
      </c>
      <c r="E5" s="19" t="s">
        <v>92</v>
      </c>
      <c r="F5" s="19" t="s">
        <v>93</v>
      </c>
      <c r="G5" s="19" t="s">
        <v>79</v>
      </c>
      <c r="H5" s="19" t="s">
        <v>94</v>
      </c>
      <c r="I5" s="19" t="s">
        <v>95</v>
      </c>
      <c r="J5" s="19" t="s">
        <v>96</v>
      </c>
      <c r="K5" s="19" t="s">
        <v>97</v>
      </c>
    </row>
    <row r="6" spans="1:11">
      <c r="A6" s="20">
        <v>0</v>
      </c>
      <c r="B6" s="16">
        <f t="shared" ref="B6:B26" si="0">A6*TOM_HRS*WEEKS*(1+TOM_DIM)^A6</f>
        <v>0</v>
      </c>
      <c r="C6" s="16">
        <f t="shared" ref="C6:C26" si="1">MIN(B6,OWN_HRS)</f>
        <v>0</v>
      </c>
      <c r="D6" s="16">
        <f t="shared" ref="D6:D26" si="2">MAX(B6-OWN_HRS,0)</f>
        <v>0</v>
      </c>
      <c r="E6" s="11">
        <f t="shared" ref="E6:E26" si="3">C6*OWN_RATE+D6*WORKER_RATE</f>
        <v>0</v>
      </c>
      <c r="F6" s="11">
        <f t="shared" ref="F6:F26" si="4">IF(B6=0,0,E6/B6)</f>
        <v>0</v>
      </c>
      <c r="G6" s="11">
        <f t="shared" ref="G6:G26" si="5">A6*TOM_FERT</f>
        <v>0</v>
      </c>
      <c r="H6" s="11">
        <f t="shared" ref="H6:H26" si="6">E6+G6</f>
        <v>0</v>
      </c>
      <c r="I6" s="5" t="s">
        <v>98</v>
      </c>
      <c r="J6" s="11">
        <f t="shared" ref="J6:J26" si="7">TOM_PRICE</f>
        <v>8800</v>
      </c>
      <c r="K6" s="5"/>
    </row>
    <row r="7" spans="1:11">
      <c r="A7" s="20">
        <v>1</v>
      </c>
      <c r="B7" s="16">
        <f t="shared" si="0"/>
        <v>99.000000000000014</v>
      </c>
      <c r="C7" s="16">
        <f t="shared" si="1"/>
        <v>99.000000000000014</v>
      </c>
      <c r="D7" s="16">
        <f t="shared" si="2"/>
        <v>0</v>
      </c>
      <c r="E7" s="11">
        <f t="shared" si="3"/>
        <v>3437.5000000000005</v>
      </c>
      <c r="F7" s="11">
        <f t="shared" si="4"/>
        <v>34.722222222222221</v>
      </c>
      <c r="G7" s="11">
        <f t="shared" si="5"/>
        <v>880</v>
      </c>
      <c r="H7" s="11">
        <f t="shared" si="6"/>
        <v>4317.5</v>
      </c>
      <c r="I7" s="11">
        <f t="shared" ref="I7:I26" si="8">H7-H6</f>
        <v>4317.5</v>
      </c>
      <c r="J7" s="11">
        <f t="shared" si="7"/>
        <v>8800</v>
      </c>
      <c r="K7" s="20">
        <f t="shared" ref="K7:K26" si="9">IF(I7&gt;=TOM_PRICE,1,0)</f>
        <v>0</v>
      </c>
    </row>
    <row r="8" spans="1:11">
      <c r="A8" s="20">
        <v>2</v>
      </c>
      <c r="B8" s="16">
        <f t="shared" si="0"/>
        <v>217.80000000000004</v>
      </c>
      <c r="C8" s="16">
        <f t="shared" si="1"/>
        <v>217.80000000000004</v>
      </c>
      <c r="D8" s="16">
        <f t="shared" si="2"/>
        <v>0</v>
      </c>
      <c r="E8" s="11">
        <f t="shared" si="3"/>
        <v>7562.5000000000009</v>
      </c>
      <c r="F8" s="11">
        <f t="shared" si="4"/>
        <v>34.722222222222221</v>
      </c>
      <c r="G8" s="11">
        <f t="shared" si="5"/>
        <v>1760</v>
      </c>
      <c r="H8" s="11">
        <f t="shared" si="6"/>
        <v>9322.5</v>
      </c>
      <c r="I8" s="11">
        <f t="shared" si="8"/>
        <v>5005</v>
      </c>
      <c r="J8" s="11">
        <f t="shared" si="7"/>
        <v>8800</v>
      </c>
      <c r="K8" s="20">
        <f t="shared" si="9"/>
        <v>0</v>
      </c>
    </row>
    <row r="9" spans="1:11">
      <c r="A9" s="20">
        <v>3</v>
      </c>
      <c r="B9" s="16">
        <f t="shared" si="0"/>
        <v>359.37000000000012</v>
      </c>
      <c r="C9" s="16">
        <f t="shared" si="1"/>
        <v>359.37000000000012</v>
      </c>
      <c r="D9" s="16">
        <f t="shared" si="2"/>
        <v>0</v>
      </c>
      <c r="E9" s="11">
        <f t="shared" si="3"/>
        <v>12478.125000000004</v>
      </c>
      <c r="F9" s="11">
        <f t="shared" si="4"/>
        <v>34.722222222222221</v>
      </c>
      <c r="G9" s="11">
        <f t="shared" si="5"/>
        <v>2640</v>
      </c>
      <c r="H9" s="11">
        <f t="shared" si="6"/>
        <v>15118.125000000004</v>
      </c>
      <c r="I9" s="11">
        <f t="shared" si="8"/>
        <v>5795.6250000000036</v>
      </c>
      <c r="J9" s="11">
        <f t="shared" si="7"/>
        <v>8800</v>
      </c>
      <c r="K9" s="20">
        <f t="shared" si="9"/>
        <v>0</v>
      </c>
    </row>
    <row r="10" spans="1:11">
      <c r="A10" s="20">
        <v>4</v>
      </c>
      <c r="B10" s="16">
        <f t="shared" si="0"/>
        <v>527.07600000000014</v>
      </c>
      <c r="C10" s="16">
        <f t="shared" si="1"/>
        <v>527.07600000000014</v>
      </c>
      <c r="D10" s="16">
        <f t="shared" si="2"/>
        <v>0</v>
      </c>
      <c r="E10" s="11">
        <f t="shared" si="3"/>
        <v>18301.250000000004</v>
      </c>
      <c r="F10" s="11">
        <f t="shared" si="4"/>
        <v>34.722222222222221</v>
      </c>
      <c r="G10" s="11">
        <f t="shared" si="5"/>
        <v>3520</v>
      </c>
      <c r="H10" s="11">
        <f t="shared" si="6"/>
        <v>21821.250000000004</v>
      </c>
      <c r="I10" s="11">
        <f t="shared" si="8"/>
        <v>6703.125</v>
      </c>
      <c r="J10" s="11">
        <f t="shared" si="7"/>
        <v>8800</v>
      </c>
      <c r="K10" s="20">
        <f t="shared" si="9"/>
        <v>0</v>
      </c>
    </row>
    <row r="11" spans="1:11">
      <c r="A11" s="20">
        <v>5</v>
      </c>
      <c r="B11" s="16">
        <f t="shared" si="0"/>
        <v>724.72950000000026</v>
      </c>
      <c r="C11" s="16">
        <f t="shared" si="1"/>
        <v>720</v>
      </c>
      <c r="D11" s="16">
        <f t="shared" si="2"/>
        <v>4.7295000000002574</v>
      </c>
      <c r="E11" s="11">
        <f t="shared" si="3"/>
        <v>25082.109375000004</v>
      </c>
      <c r="F11" s="11">
        <f t="shared" si="4"/>
        <v>34.608925640532078</v>
      </c>
      <c r="G11" s="11">
        <f t="shared" si="5"/>
        <v>4400</v>
      </c>
      <c r="H11" s="11">
        <f t="shared" si="6"/>
        <v>29482.109375000004</v>
      </c>
      <c r="I11" s="11">
        <f t="shared" si="8"/>
        <v>7660.859375</v>
      </c>
      <c r="J11" s="11">
        <f t="shared" si="7"/>
        <v>8800</v>
      </c>
      <c r="K11" s="20">
        <f t="shared" si="9"/>
        <v>0</v>
      </c>
    </row>
    <row r="12" spans="1:11">
      <c r="A12" s="20">
        <v>6</v>
      </c>
      <c r="B12" s="16">
        <f t="shared" si="0"/>
        <v>956.64294000000041</v>
      </c>
      <c r="C12" s="16">
        <f t="shared" si="1"/>
        <v>720</v>
      </c>
      <c r="D12" s="16">
        <f t="shared" si="2"/>
        <v>236.64294000000041</v>
      </c>
      <c r="E12" s="11">
        <f t="shared" si="3"/>
        <v>29108.384375000009</v>
      </c>
      <c r="F12" s="11">
        <f t="shared" si="4"/>
        <v>30.427637269763363</v>
      </c>
      <c r="G12" s="11">
        <f t="shared" si="5"/>
        <v>5280</v>
      </c>
      <c r="H12" s="11">
        <f t="shared" si="6"/>
        <v>34388.384375000009</v>
      </c>
      <c r="I12" s="11">
        <f t="shared" si="8"/>
        <v>4906.2750000000051</v>
      </c>
      <c r="J12" s="11">
        <f t="shared" si="7"/>
        <v>8800</v>
      </c>
      <c r="K12" s="20">
        <f t="shared" si="9"/>
        <v>0</v>
      </c>
    </row>
    <row r="13" spans="1:11">
      <c r="A13" s="20">
        <v>7</v>
      </c>
      <c r="B13" s="16">
        <f t="shared" si="0"/>
        <v>1227.6917730000007</v>
      </c>
      <c r="C13" s="16">
        <f t="shared" si="1"/>
        <v>720</v>
      </c>
      <c r="D13" s="16">
        <f t="shared" si="2"/>
        <v>507.69177300000069</v>
      </c>
      <c r="E13" s="11">
        <f t="shared" si="3"/>
        <v>33814.09328125001</v>
      </c>
      <c r="F13" s="11">
        <f t="shared" si="4"/>
        <v>27.542819806164811</v>
      </c>
      <c r="G13" s="11">
        <f t="shared" si="5"/>
        <v>6160</v>
      </c>
      <c r="H13" s="11">
        <f t="shared" si="6"/>
        <v>39974.09328125001</v>
      </c>
      <c r="I13" s="11">
        <f t="shared" si="8"/>
        <v>5585.7089062500017</v>
      </c>
      <c r="J13" s="11">
        <f t="shared" si="7"/>
        <v>8800</v>
      </c>
      <c r="K13" s="20">
        <f t="shared" si="9"/>
        <v>0</v>
      </c>
    </row>
    <row r="14" spans="1:11">
      <c r="A14" s="20">
        <v>8</v>
      </c>
      <c r="B14" s="16">
        <f t="shared" si="0"/>
        <v>1543.3839432000009</v>
      </c>
      <c r="C14" s="16">
        <f t="shared" si="1"/>
        <v>720</v>
      </c>
      <c r="D14" s="16">
        <f t="shared" si="2"/>
        <v>823.38394320000089</v>
      </c>
      <c r="E14" s="11">
        <f t="shared" si="3"/>
        <v>39294.860125000014</v>
      </c>
      <c r="F14" s="11">
        <f t="shared" si="4"/>
        <v>25.460197573085644</v>
      </c>
      <c r="G14" s="11">
        <f t="shared" si="5"/>
        <v>7040</v>
      </c>
      <c r="H14" s="11">
        <f t="shared" si="6"/>
        <v>46334.860125000014</v>
      </c>
      <c r="I14" s="11">
        <f t="shared" si="8"/>
        <v>6360.7668437500033</v>
      </c>
      <c r="J14" s="11">
        <f t="shared" si="7"/>
        <v>8800</v>
      </c>
      <c r="K14" s="20">
        <f t="shared" si="9"/>
        <v>0</v>
      </c>
    </row>
    <row r="15" spans="1:11">
      <c r="A15" s="20">
        <v>9</v>
      </c>
      <c r="B15" s="16">
        <f t="shared" si="0"/>
        <v>1909.9376297100011</v>
      </c>
      <c r="C15" s="16">
        <f t="shared" si="1"/>
        <v>720</v>
      </c>
      <c r="D15" s="16">
        <f t="shared" si="2"/>
        <v>1189.9376297100011</v>
      </c>
      <c r="E15" s="11">
        <f t="shared" si="3"/>
        <v>45658.639404687521</v>
      </c>
      <c r="F15" s="11">
        <f t="shared" si="4"/>
        <v>23.905827444019828</v>
      </c>
      <c r="G15" s="11">
        <f t="shared" si="5"/>
        <v>7920</v>
      </c>
      <c r="H15" s="11">
        <f t="shared" si="6"/>
        <v>53578.639404687521</v>
      </c>
      <c r="I15" s="11">
        <f t="shared" si="8"/>
        <v>7243.7792796875074</v>
      </c>
      <c r="J15" s="11">
        <f t="shared" si="7"/>
        <v>8800</v>
      </c>
      <c r="K15" s="20">
        <f t="shared" si="9"/>
        <v>0</v>
      </c>
    </row>
    <row r="16" spans="1:11">
      <c r="A16" s="20">
        <v>10</v>
      </c>
      <c r="B16" s="16">
        <f t="shared" si="0"/>
        <v>2334.3682140900019</v>
      </c>
      <c r="C16" s="16">
        <f t="shared" si="1"/>
        <v>720</v>
      </c>
      <c r="D16" s="16">
        <f t="shared" si="2"/>
        <v>1614.3682140900019</v>
      </c>
      <c r="E16" s="11">
        <f t="shared" si="3"/>
        <v>53027.225939062533</v>
      </c>
      <c r="F16" s="11">
        <f t="shared" si="4"/>
        <v>22.715879019854604</v>
      </c>
      <c r="G16" s="11">
        <f t="shared" si="5"/>
        <v>8800</v>
      </c>
      <c r="H16" s="11">
        <f t="shared" si="6"/>
        <v>61827.225939062533</v>
      </c>
      <c r="I16" s="11">
        <f t="shared" si="8"/>
        <v>8248.586534375012</v>
      </c>
      <c r="J16" s="11">
        <f t="shared" si="7"/>
        <v>8800</v>
      </c>
      <c r="K16" s="20">
        <f t="shared" si="9"/>
        <v>0</v>
      </c>
    </row>
    <row r="17" spans="1:11">
      <c r="A17" s="20">
        <v>11</v>
      </c>
      <c r="B17" s="16">
        <f t="shared" si="0"/>
        <v>2824.5855390489023</v>
      </c>
      <c r="C17" s="16">
        <f t="shared" si="1"/>
        <v>720</v>
      </c>
      <c r="D17" s="16">
        <f t="shared" si="2"/>
        <v>2104.5855390489023</v>
      </c>
      <c r="E17" s="11">
        <f t="shared" si="3"/>
        <v>61537.943386265666</v>
      </c>
      <c r="F17" s="11">
        <f t="shared" si="4"/>
        <v>21.786539134866064</v>
      </c>
      <c r="G17" s="11">
        <f t="shared" si="5"/>
        <v>9680</v>
      </c>
      <c r="H17" s="11">
        <f t="shared" si="6"/>
        <v>71217.943386265659</v>
      </c>
      <c r="I17" s="11">
        <f t="shared" si="8"/>
        <v>9390.7174472031256</v>
      </c>
      <c r="J17" s="11">
        <f t="shared" si="7"/>
        <v>8800</v>
      </c>
      <c r="K17" s="20">
        <f t="shared" si="9"/>
        <v>1</v>
      </c>
    </row>
    <row r="18" spans="1:11">
      <c r="A18" s="20">
        <v>12</v>
      </c>
      <c r="B18" s="16">
        <f t="shared" si="0"/>
        <v>3389.502646858683</v>
      </c>
      <c r="C18" s="16">
        <f t="shared" si="1"/>
        <v>720</v>
      </c>
      <c r="D18" s="16">
        <f t="shared" si="2"/>
        <v>2669.502646858683</v>
      </c>
      <c r="E18" s="11">
        <f t="shared" si="3"/>
        <v>71345.532063518796</v>
      </c>
      <c r="F18" s="11">
        <f t="shared" si="4"/>
        <v>21.048967797573571</v>
      </c>
      <c r="G18" s="11">
        <f t="shared" si="5"/>
        <v>10560</v>
      </c>
      <c r="H18" s="11">
        <f t="shared" si="6"/>
        <v>81905.532063518796</v>
      </c>
      <c r="I18" s="11">
        <f t="shared" si="8"/>
        <v>10687.588677253138</v>
      </c>
      <c r="J18" s="11">
        <f t="shared" si="7"/>
        <v>8800</v>
      </c>
      <c r="K18" s="20">
        <f t="shared" si="9"/>
        <v>1</v>
      </c>
    </row>
    <row r="19" spans="1:11">
      <c r="A19" s="20">
        <v>13</v>
      </c>
      <c r="B19" s="16">
        <f t="shared" si="0"/>
        <v>4039.1573208399304</v>
      </c>
      <c r="C19" s="16">
        <f t="shared" si="1"/>
        <v>720</v>
      </c>
      <c r="D19" s="16">
        <f t="shared" si="2"/>
        <v>3319.1573208399304</v>
      </c>
      <c r="E19" s="11">
        <f t="shared" si="3"/>
        <v>82624.259042359903</v>
      </c>
      <c r="F19" s="11">
        <f t="shared" si="4"/>
        <v>20.455816022827861</v>
      </c>
      <c r="G19" s="11">
        <f t="shared" si="5"/>
        <v>11440</v>
      </c>
      <c r="H19" s="11">
        <f t="shared" si="6"/>
        <v>94064.259042359903</v>
      </c>
      <c r="I19" s="11">
        <f t="shared" si="8"/>
        <v>12158.726978841107</v>
      </c>
      <c r="J19" s="11">
        <f t="shared" si="7"/>
        <v>8800</v>
      </c>
      <c r="K19" s="20">
        <f t="shared" si="9"/>
        <v>1</v>
      </c>
    </row>
    <row r="20" spans="1:11">
      <c r="A20" s="20">
        <v>14</v>
      </c>
      <c r="B20" s="16">
        <f t="shared" si="0"/>
        <v>4784.8479031488414</v>
      </c>
      <c r="C20" s="16">
        <f t="shared" si="1"/>
        <v>720</v>
      </c>
      <c r="D20" s="16">
        <f t="shared" si="2"/>
        <v>4064.8479031488414</v>
      </c>
      <c r="E20" s="11">
        <f t="shared" si="3"/>
        <v>95570.276096334055</v>
      </c>
      <c r="F20" s="11">
        <f t="shared" si="4"/>
        <v>19.973524348274601</v>
      </c>
      <c r="G20" s="11">
        <f t="shared" si="5"/>
        <v>12320</v>
      </c>
      <c r="H20" s="11">
        <f t="shared" si="6"/>
        <v>107890.27609633406</v>
      </c>
      <c r="I20" s="11">
        <f t="shared" si="8"/>
        <v>13826.017053974152</v>
      </c>
      <c r="J20" s="11">
        <f t="shared" si="7"/>
        <v>8800</v>
      </c>
      <c r="K20" s="20">
        <f t="shared" si="9"/>
        <v>1</v>
      </c>
    </row>
    <row r="21" spans="1:11">
      <c r="A21" s="20">
        <v>15</v>
      </c>
      <c r="B21" s="16">
        <f t="shared" si="0"/>
        <v>5639.2850287111351</v>
      </c>
      <c r="C21" s="16">
        <f t="shared" si="1"/>
        <v>720</v>
      </c>
      <c r="D21" s="16">
        <f t="shared" si="2"/>
        <v>4919.2850287111351</v>
      </c>
      <c r="E21" s="11">
        <f t="shared" si="3"/>
        <v>110404.25397067942</v>
      </c>
      <c r="F21" s="11">
        <f t="shared" si="4"/>
        <v>19.577704160825586</v>
      </c>
      <c r="G21" s="11">
        <f t="shared" si="5"/>
        <v>13200</v>
      </c>
      <c r="H21" s="11">
        <f t="shared" si="6"/>
        <v>123604.25397067942</v>
      </c>
      <c r="I21" s="11">
        <f t="shared" si="8"/>
        <v>15713.977874345364</v>
      </c>
      <c r="J21" s="11">
        <f t="shared" si="7"/>
        <v>8800</v>
      </c>
      <c r="K21" s="20">
        <f t="shared" si="9"/>
        <v>1</v>
      </c>
    </row>
    <row r="22" spans="1:11">
      <c r="A22" s="20">
        <v>16</v>
      </c>
      <c r="B22" s="16">
        <f t="shared" si="0"/>
        <v>6616.761100354398</v>
      </c>
      <c r="C22" s="16">
        <f t="shared" si="1"/>
        <v>720</v>
      </c>
      <c r="D22" s="16">
        <f t="shared" si="2"/>
        <v>5896.761100354398</v>
      </c>
      <c r="E22" s="11">
        <f t="shared" si="3"/>
        <v>127374.32465893052</v>
      </c>
      <c r="F22" s="11">
        <f t="shared" si="4"/>
        <v>19.250252914845039</v>
      </c>
      <c r="G22" s="11">
        <f t="shared" si="5"/>
        <v>14080</v>
      </c>
      <c r="H22" s="11">
        <f t="shared" si="6"/>
        <v>141454.32465893053</v>
      </c>
      <c r="I22" s="11">
        <f t="shared" si="8"/>
        <v>17850.070688251115</v>
      </c>
      <c r="J22" s="11">
        <f t="shared" si="7"/>
        <v>8800</v>
      </c>
      <c r="K22" s="20">
        <f t="shared" si="9"/>
        <v>1</v>
      </c>
    </row>
    <row r="23" spans="1:11">
      <c r="A23" s="20">
        <v>17</v>
      </c>
      <c r="B23" s="16">
        <f t="shared" si="0"/>
        <v>7733.3395360392033</v>
      </c>
      <c r="C23" s="16">
        <f t="shared" si="1"/>
        <v>720</v>
      </c>
      <c r="D23" s="16">
        <f t="shared" si="2"/>
        <v>7013.3395360392033</v>
      </c>
      <c r="E23" s="11">
        <f t="shared" si="3"/>
        <v>146759.36694512505</v>
      </c>
      <c r="F23" s="11">
        <f t="shared" si="4"/>
        <v>18.977489125001103</v>
      </c>
      <c r="G23" s="11">
        <f t="shared" si="5"/>
        <v>14960</v>
      </c>
      <c r="H23" s="11">
        <f t="shared" si="6"/>
        <v>161719.36694512505</v>
      </c>
      <c r="I23" s="11">
        <f t="shared" si="8"/>
        <v>20265.042286194512</v>
      </c>
      <c r="J23" s="11">
        <f t="shared" si="7"/>
        <v>8800</v>
      </c>
      <c r="K23" s="20">
        <f t="shared" si="9"/>
        <v>1</v>
      </c>
    </row>
    <row r="24" spans="1:11">
      <c r="A24" s="20">
        <v>18</v>
      </c>
      <c r="B24" s="16">
        <f t="shared" si="0"/>
        <v>9007.0660478574246</v>
      </c>
      <c r="C24" s="16">
        <f t="shared" si="1"/>
        <v>720</v>
      </c>
      <c r="D24" s="16">
        <f t="shared" si="2"/>
        <v>8287.0660478574246</v>
      </c>
      <c r="E24" s="11">
        <f t="shared" si="3"/>
        <v>168872.67444196917</v>
      </c>
      <c r="F24" s="11">
        <f t="shared" si="4"/>
        <v>18.748910415966154</v>
      </c>
      <c r="G24" s="11">
        <f t="shared" si="5"/>
        <v>15840</v>
      </c>
      <c r="H24" s="11">
        <f t="shared" si="6"/>
        <v>184712.67444196917</v>
      </c>
      <c r="I24" s="11">
        <f t="shared" si="8"/>
        <v>22993.307496844121</v>
      </c>
      <c r="J24" s="11">
        <f t="shared" si="7"/>
        <v>8800</v>
      </c>
      <c r="K24" s="20">
        <f t="shared" si="9"/>
        <v>1</v>
      </c>
    </row>
    <row r="25" spans="1:11">
      <c r="A25" s="20">
        <v>19</v>
      </c>
      <c r="B25" s="16">
        <f t="shared" si="0"/>
        <v>10458.204466678902</v>
      </c>
      <c r="C25" s="16">
        <f t="shared" si="1"/>
        <v>720</v>
      </c>
      <c r="D25" s="16">
        <f t="shared" si="2"/>
        <v>9738.2044666789025</v>
      </c>
      <c r="E25" s="11">
        <f t="shared" si="3"/>
        <v>194066.04976873094</v>
      </c>
      <c r="F25" s="11">
        <f t="shared" si="4"/>
        <v>18.55634496218244</v>
      </c>
      <c r="G25" s="11">
        <f t="shared" si="5"/>
        <v>16720</v>
      </c>
      <c r="H25" s="11">
        <f t="shared" si="6"/>
        <v>210786.04976873094</v>
      </c>
      <c r="I25" s="11">
        <f t="shared" si="8"/>
        <v>26073.375326761772</v>
      </c>
      <c r="J25" s="11">
        <f t="shared" si="7"/>
        <v>8800</v>
      </c>
      <c r="K25" s="20">
        <f t="shared" si="9"/>
        <v>1</v>
      </c>
    </row>
    <row r="26" spans="1:11">
      <c r="A26" s="20">
        <v>20</v>
      </c>
      <c r="B26" s="16">
        <f t="shared" si="0"/>
        <v>12109.499908786096</v>
      </c>
      <c r="C26" s="16">
        <f t="shared" si="1"/>
        <v>720</v>
      </c>
      <c r="D26" s="16">
        <f t="shared" si="2"/>
        <v>11389.499908786096</v>
      </c>
      <c r="E26" s="11">
        <f t="shared" si="3"/>
        <v>222734.37341642528</v>
      </c>
      <c r="F26" s="11">
        <f t="shared" si="4"/>
        <v>18.393358527945441</v>
      </c>
      <c r="G26" s="11">
        <f t="shared" si="5"/>
        <v>17600</v>
      </c>
      <c r="H26" s="11">
        <f t="shared" si="6"/>
        <v>240334.37341642528</v>
      </c>
      <c r="I26" s="11">
        <f t="shared" si="8"/>
        <v>29548.323647694342</v>
      </c>
      <c r="J26" s="11">
        <f t="shared" si="7"/>
        <v>8800</v>
      </c>
      <c r="K26" s="20">
        <f t="shared" si="9"/>
        <v>1</v>
      </c>
    </row>
    <row r="28" spans="1:11">
      <c r="A28" s="3" t="s">
        <v>99</v>
      </c>
      <c r="B28" s="21">
        <f>IF(ISNA(MATCH(1,'Marginal Cost Schedules'!$K$7:$K$26,0)),TOM_CAP,MATCH(1,'Marginal Cost Schedules'!$K$7:$K$26,0)-1)</f>
        <v>10</v>
      </c>
    </row>
    <row r="31" spans="1:11" ht="16">
      <c r="A31" s="9" t="s">
        <v>100</v>
      </c>
    </row>
    <row r="32" spans="1:11" ht="30">
      <c r="A32" s="19" t="s">
        <v>88</v>
      </c>
      <c r="B32" s="19" t="s">
        <v>89</v>
      </c>
      <c r="C32" s="19" t="s">
        <v>90</v>
      </c>
      <c r="D32" s="19" t="s">
        <v>91</v>
      </c>
      <c r="E32" s="19" t="s">
        <v>92</v>
      </c>
      <c r="F32" s="19" t="s">
        <v>93</v>
      </c>
      <c r="G32" s="19" t="s">
        <v>79</v>
      </c>
      <c r="H32" s="19" t="s">
        <v>94</v>
      </c>
      <c r="I32" s="19" t="s">
        <v>95</v>
      </c>
      <c r="J32" s="19" t="s">
        <v>96</v>
      </c>
      <c r="K32" s="19" t="s">
        <v>97</v>
      </c>
    </row>
    <row r="33" spans="1:11">
      <c r="A33" s="20">
        <v>0</v>
      </c>
      <c r="B33" s="16">
        <f t="shared" ref="B33:B53" si="10">A33*CAR_HRS*WEEKS*(1+CAR_DIM)^A33</f>
        <v>0</v>
      </c>
      <c r="C33" s="16">
        <f t="shared" ref="C33:C53" si="11">MIN(B33,OWN_HRS)</f>
        <v>0</v>
      </c>
      <c r="D33" s="16">
        <f t="shared" ref="D33:D53" si="12">MAX(B33-OWN_HRS,0)</f>
        <v>0</v>
      </c>
      <c r="E33" s="11">
        <f t="shared" ref="E33:E53" si="13">C33*OWN_RATE+D33*WORKER_RATE</f>
        <v>0</v>
      </c>
      <c r="F33" s="11">
        <f t="shared" ref="F33:F53" si="14">IF(B33=0,0,E33/B33)</f>
        <v>0</v>
      </c>
      <c r="G33" s="11">
        <f t="shared" ref="G33:G53" si="15">A33*CAR_FERT</f>
        <v>0</v>
      </c>
      <c r="H33" s="11">
        <f t="shared" ref="H33:H53" si="16">E33+G33</f>
        <v>0</v>
      </c>
      <c r="I33" s="5" t="s">
        <v>98</v>
      </c>
      <c r="J33" s="11">
        <f t="shared" ref="J33:J53" si="17">CAR_PRICE</f>
        <v>2094</v>
      </c>
      <c r="K33" s="5"/>
    </row>
    <row r="34" spans="1:11">
      <c r="A34" s="20">
        <v>1</v>
      </c>
      <c r="B34" s="16">
        <f t="shared" si="10"/>
        <v>30.749999999999996</v>
      </c>
      <c r="C34" s="16">
        <f t="shared" si="11"/>
        <v>30.749999999999996</v>
      </c>
      <c r="D34" s="16">
        <f t="shared" si="12"/>
        <v>0</v>
      </c>
      <c r="E34" s="11">
        <f t="shared" si="13"/>
        <v>1067.7083333333333</v>
      </c>
      <c r="F34" s="11">
        <f t="shared" si="14"/>
        <v>34.722222222222221</v>
      </c>
      <c r="G34" s="11">
        <f t="shared" si="15"/>
        <v>440</v>
      </c>
      <c r="H34" s="11">
        <f t="shared" si="16"/>
        <v>1507.7083333333333</v>
      </c>
      <c r="I34" s="11">
        <f t="shared" ref="I34:I53" si="18">H34-H33</f>
        <v>1507.7083333333333</v>
      </c>
      <c r="J34" s="11">
        <f t="shared" si="17"/>
        <v>2094</v>
      </c>
      <c r="K34" s="20">
        <f t="shared" ref="K34:K53" si="19">IF(I34&gt;=CAR_PRICE,1,0)</f>
        <v>0</v>
      </c>
    </row>
    <row r="35" spans="1:11">
      <c r="A35" s="20">
        <v>2</v>
      </c>
      <c r="B35" s="16">
        <f t="shared" si="10"/>
        <v>63.037499999999994</v>
      </c>
      <c r="C35" s="16">
        <f t="shared" si="11"/>
        <v>63.037499999999994</v>
      </c>
      <c r="D35" s="16">
        <f t="shared" si="12"/>
        <v>0</v>
      </c>
      <c r="E35" s="11">
        <f t="shared" si="13"/>
        <v>2188.802083333333</v>
      </c>
      <c r="F35" s="11">
        <f t="shared" si="14"/>
        <v>34.722222222222221</v>
      </c>
      <c r="G35" s="11">
        <f t="shared" si="15"/>
        <v>880</v>
      </c>
      <c r="H35" s="11">
        <f t="shared" si="16"/>
        <v>3068.802083333333</v>
      </c>
      <c r="I35" s="11">
        <f t="shared" si="18"/>
        <v>1561.0937499999998</v>
      </c>
      <c r="J35" s="11">
        <f t="shared" si="17"/>
        <v>2094</v>
      </c>
      <c r="K35" s="20">
        <f t="shared" si="19"/>
        <v>0</v>
      </c>
    </row>
    <row r="36" spans="1:11">
      <c r="A36" s="20">
        <v>3</v>
      </c>
      <c r="B36" s="16">
        <f t="shared" si="10"/>
        <v>96.920156249999991</v>
      </c>
      <c r="C36" s="16">
        <f t="shared" si="11"/>
        <v>96.920156249999991</v>
      </c>
      <c r="D36" s="16">
        <f t="shared" si="12"/>
        <v>0</v>
      </c>
      <c r="E36" s="11">
        <f t="shared" si="13"/>
        <v>3365.2832031249995</v>
      </c>
      <c r="F36" s="11">
        <f t="shared" si="14"/>
        <v>34.722222222222221</v>
      </c>
      <c r="G36" s="11">
        <f t="shared" si="15"/>
        <v>1320</v>
      </c>
      <c r="H36" s="11">
        <f t="shared" si="16"/>
        <v>4685.283203125</v>
      </c>
      <c r="I36" s="11">
        <f t="shared" si="18"/>
        <v>1616.481119791667</v>
      </c>
      <c r="J36" s="11">
        <f t="shared" si="17"/>
        <v>2094</v>
      </c>
      <c r="K36" s="20">
        <f t="shared" si="19"/>
        <v>0</v>
      </c>
    </row>
    <row r="37" spans="1:11">
      <c r="A37" s="20">
        <v>4</v>
      </c>
      <c r="B37" s="16">
        <f t="shared" si="10"/>
        <v>132.45754687499996</v>
      </c>
      <c r="C37" s="16">
        <f t="shared" si="11"/>
        <v>132.45754687499996</v>
      </c>
      <c r="D37" s="16">
        <f t="shared" si="12"/>
        <v>0</v>
      </c>
      <c r="E37" s="11">
        <f t="shared" si="13"/>
        <v>4599.2203776041652</v>
      </c>
      <c r="F37" s="11">
        <f t="shared" si="14"/>
        <v>34.722222222222221</v>
      </c>
      <c r="G37" s="11">
        <f t="shared" si="15"/>
        <v>1760</v>
      </c>
      <c r="H37" s="11">
        <f t="shared" si="16"/>
        <v>6359.2203776041652</v>
      </c>
      <c r="I37" s="11">
        <f t="shared" si="18"/>
        <v>1673.9371744791652</v>
      </c>
      <c r="J37" s="11">
        <f t="shared" si="17"/>
        <v>2094</v>
      </c>
      <c r="K37" s="20">
        <f t="shared" si="19"/>
        <v>0</v>
      </c>
    </row>
    <row r="38" spans="1:11">
      <c r="A38" s="20">
        <v>5</v>
      </c>
      <c r="B38" s="16">
        <f t="shared" si="10"/>
        <v>169.71123193359369</v>
      </c>
      <c r="C38" s="16">
        <f t="shared" si="11"/>
        <v>169.71123193359369</v>
      </c>
      <c r="D38" s="16">
        <f t="shared" si="12"/>
        <v>0</v>
      </c>
      <c r="E38" s="11">
        <f t="shared" si="13"/>
        <v>5892.7511088053361</v>
      </c>
      <c r="F38" s="11">
        <f t="shared" si="14"/>
        <v>34.722222222222221</v>
      </c>
      <c r="G38" s="11">
        <f t="shared" si="15"/>
        <v>2200</v>
      </c>
      <c r="H38" s="11">
        <f t="shared" si="16"/>
        <v>8092.7511088053361</v>
      </c>
      <c r="I38" s="11">
        <f t="shared" si="18"/>
        <v>1733.530731201171</v>
      </c>
      <c r="J38" s="11">
        <f t="shared" si="17"/>
        <v>2094</v>
      </c>
      <c r="K38" s="20">
        <f t="shared" si="19"/>
        <v>0</v>
      </c>
    </row>
    <row r="39" spans="1:11">
      <c r="A39" s="20">
        <v>6</v>
      </c>
      <c r="B39" s="16">
        <f t="shared" si="10"/>
        <v>208.74481527832023</v>
      </c>
      <c r="C39" s="16">
        <f t="shared" si="11"/>
        <v>208.74481527832023</v>
      </c>
      <c r="D39" s="16">
        <f t="shared" si="12"/>
        <v>0</v>
      </c>
      <c r="E39" s="11">
        <f t="shared" si="13"/>
        <v>7248.0838638305631</v>
      </c>
      <c r="F39" s="11">
        <f t="shared" si="14"/>
        <v>34.722222222222221</v>
      </c>
      <c r="G39" s="11">
        <f t="shared" si="15"/>
        <v>2640</v>
      </c>
      <c r="H39" s="11">
        <f t="shared" si="16"/>
        <v>9888.0838638305631</v>
      </c>
      <c r="I39" s="11">
        <f t="shared" si="18"/>
        <v>1795.332755025227</v>
      </c>
      <c r="J39" s="11">
        <f t="shared" si="17"/>
        <v>2094</v>
      </c>
      <c r="K39" s="20">
        <f t="shared" si="19"/>
        <v>0</v>
      </c>
    </row>
    <row r="40" spans="1:11">
      <c r="A40" s="20">
        <v>7</v>
      </c>
      <c r="B40" s="16">
        <f t="shared" si="10"/>
        <v>249.62400827032465</v>
      </c>
      <c r="C40" s="16">
        <f t="shared" si="11"/>
        <v>249.62400827032465</v>
      </c>
      <c r="D40" s="16">
        <f t="shared" si="12"/>
        <v>0</v>
      </c>
      <c r="E40" s="11">
        <f t="shared" si="13"/>
        <v>8667.50028716405</v>
      </c>
      <c r="F40" s="11">
        <f t="shared" si="14"/>
        <v>34.722222222222221</v>
      </c>
      <c r="G40" s="11">
        <f t="shared" si="15"/>
        <v>3080</v>
      </c>
      <c r="H40" s="11">
        <f t="shared" si="16"/>
        <v>11747.50028716405</v>
      </c>
      <c r="I40" s="11">
        <f t="shared" si="18"/>
        <v>1859.4164233334868</v>
      </c>
      <c r="J40" s="11">
        <f t="shared" si="17"/>
        <v>2094</v>
      </c>
      <c r="K40" s="20">
        <f t="shared" si="19"/>
        <v>0</v>
      </c>
    </row>
    <row r="41" spans="1:11">
      <c r="A41" s="20">
        <v>8</v>
      </c>
      <c r="B41" s="16">
        <f t="shared" si="10"/>
        <v>292.41669540238024</v>
      </c>
      <c r="C41" s="16">
        <f t="shared" si="11"/>
        <v>292.41669540238024</v>
      </c>
      <c r="D41" s="16">
        <f t="shared" si="12"/>
        <v>0</v>
      </c>
      <c r="E41" s="11">
        <f t="shared" si="13"/>
        <v>10153.357479249315</v>
      </c>
      <c r="F41" s="11">
        <f t="shared" si="14"/>
        <v>34.722222222222221</v>
      </c>
      <c r="G41" s="11">
        <f t="shared" si="15"/>
        <v>3520</v>
      </c>
      <c r="H41" s="11">
        <f t="shared" si="16"/>
        <v>13673.357479249315</v>
      </c>
      <c r="I41" s="11">
        <f t="shared" si="18"/>
        <v>1925.8571920852646</v>
      </c>
      <c r="J41" s="11">
        <f t="shared" si="17"/>
        <v>2094</v>
      </c>
      <c r="K41" s="20">
        <f t="shared" si="19"/>
        <v>0</v>
      </c>
    </row>
    <row r="42" spans="1:11">
      <c r="A42" s="20">
        <v>9</v>
      </c>
      <c r="B42" s="16">
        <f t="shared" si="10"/>
        <v>337.19300188586965</v>
      </c>
      <c r="C42" s="16">
        <f t="shared" si="11"/>
        <v>337.19300188586965</v>
      </c>
      <c r="D42" s="16">
        <f t="shared" si="12"/>
        <v>0</v>
      </c>
      <c r="E42" s="11">
        <f t="shared" si="13"/>
        <v>11708.090343259362</v>
      </c>
      <c r="F42" s="11">
        <f t="shared" si="14"/>
        <v>34.722222222222221</v>
      </c>
      <c r="G42" s="11">
        <f t="shared" si="15"/>
        <v>3960</v>
      </c>
      <c r="H42" s="11">
        <f t="shared" si="16"/>
        <v>15668.090343259362</v>
      </c>
      <c r="I42" s="11">
        <f t="shared" si="18"/>
        <v>1994.7328640100477</v>
      </c>
      <c r="J42" s="11">
        <f t="shared" si="17"/>
        <v>2094</v>
      </c>
      <c r="K42" s="20">
        <f t="shared" si="19"/>
        <v>0</v>
      </c>
    </row>
    <row r="43" spans="1:11">
      <c r="A43" s="20">
        <v>10</v>
      </c>
      <c r="B43" s="16">
        <f t="shared" si="10"/>
        <v>384.02536325890713</v>
      </c>
      <c r="C43" s="16">
        <f t="shared" si="11"/>
        <v>384.02536325890713</v>
      </c>
      <c r="D43" s="16">
        <f t="shared" si="12"/>
        <v>0</v>
      </c>
      <c r="E43" s="11">
        <f t="shared" si="13"/>
        <v>13334.214002045386</v>
      </c>
      <c r="F43" s="11">
        <f t="shared" si="14"/>
        <v>34.722222222222221</v>
      </c>
      <c r="G43" s="11">
        <f t="shared" si="15"/>
        <v>4400</v>
      </c>
      <c r="H43" s="11">
        <f t="shared" si="16"/>
        <v>17734.214002045388</v>
      </c>
      <c r="I43" s="11">
        <f t="shared" si="18"/>
        <v>2066.1236587860258</v>
      </c>
      <c r="J43" s="11">
        <f t="shared" si="17"/>
        <v>2094</v>
      </c>
      <c r="K43" s="20">
        <f t="shared" si="19"/>
        <v>0</v>
      </c>
    </row>
    <row r="44" spans="1:11">
      <c r="A44" s="20">
        <v>11</v>
      </c>
      <c r="B44" s="16">
        <f t="shared" si="10"/>
        <v>432.98859707441784</v>
      </c>
      <c r="C44" s="16">
        <f t="shared" si="11"/>
        <v>432.98859707441784</v>
      </c>
      <c r="D44" s="16">
        <f t="shared" si="12"/>
        <v>0</v>
      </c>
      <c r="E44" s="11">
        <f t="shared" si="13"/>
        <v>15034.326287306174</v>
      </c>
      <c r="F44" s="11">
        <f t="shared" si="14"/>
        <v>34.722222222222221</v>
      </c>
      <c r="G44" s="11">
        <f t="shared" si="15"/>
        <v>4840</v>
      </c>
      <c r="H44" s="11">
        <f t="shared" si="16"/>
        <v>19874.326287306176</v>
      </c>
      <c r="I44" s="11">
        <f t="shared" si="18"/>
        <v>2140.1122852607878</v>
      </c>
      <c r="J44" s="11">
        <f t="shared" si="17"/>
        <v>2094</v>
      </c>
      <c r="K44" s="20">
        <f t="shared" si="19"/>
        <v>1</v>
      </c>
    </row>
    <row r="45" spans="1:11">
      <c r="A45" s="20">
        <v>12</v>
      </c>
      <c r="B45" s="16">
        <f t="shared" si="10"/>
        <v>484.15997672866712</v>
      </c>
      <c r="C45" s="16">
        <f t="shared" si="11"/>
        <v>484.15997672866712</v>
      </c>
      <c r="D45" s="16">
        <f t="shared" si="12"/>
        <v>0</v>
      </c>
      <c r="E45" s="11">
        <f t="shared" si="13"/>
        <v>16811.11030307872</v>
      </c>
      <c r="F45" s="11">
        <f t="shared" si="14"/>
        <v>34.722222222222221</v>
      </c>
      <c r="G45" s="11">
        <f t="shared" si="15"/>
        <v>5280</v>
      </c>
      <c r="H45" s="11">
        <f t="shared" si="16"/>
        <v>22091.11030307872</v>
      </c>
      <c r="I45" s="11">
        <f t="shared" si="18"/>
        <v>2216.7840157725441</v>
      </c>
      <c r="J45" s="11">
        <f t="shared" si="17"/>
        <v>2094</v>
      </c>
      <c r="K45" s="20">
        <f t="shared" si="19"/>
        <v>1</v>
      </c>
    </row>
    <row r="46" spans="1:11">
      <c r="A46" s="20">
        <v>13</v>
      </c>
      <c r="B46" s="16">
        <f t="shared" si="10"/>
        <v>537.61930749245744</v>
      </c>
      <c r="C46" s="16">
        <f t="shared" si="11"/>
        <v>537.61930749245744</v>
      </c>
      <c r="D46" s="16">
        <f t="shared" si="12"/>
        <v>0</v>
      </c>
      <c r="E46" s="11">
        <f t="shared" si="13"/>
        <v>18667.337065710326</v>
      </c>
      <c r="F46" s="11">
        <f t="shared" si="14"/>
        <v>34.722222222222221</v>
      </c>
      <c r="G46" s="11">
        <f t="shared" si="15"/>
        <v>5720</v>
      </c>
      <c r="H46" s="11">
        <f t="shared" si="16"/>
        <v>24387.337065710326</v>
      </c>
      <c r="I46" s="11">
        <f t="shared" si="18"/>
        <v>2296.2267626316061</v>
      </c>
      <c r="J46" s="11">
        <f t="shared" si="17"/>
        <v>2094</v>
      </c>
      <c r="K46" s="20">
        <f t="shared" si="19"/>
        <v>1</v>
      </c>
    </row>
    <row r="47" spans="1:11">
      <c r="A47" s="20">
        <v>14</v>
      </c>
      <c r="B47" s="16">
        <f t="shared" si="10"/>
        <v>593.44900480898184</v>
      </c>
      <c r="C47" s="16">
        <f t="shared" si="11"/>
        <v>593.44900480898184</v>
      </c>
      <c r="D47" s="16">
        <f t="shared" si="12"/>
        <v>0</v>
      </c>
      <c r="E47" s="11">
        <f t="shared" si="13"/>
        <v>20605.868222534093</v>
      </c>
      <c r="F47" s="11">
        <f t="shared" si="14"/>
        <v>34.722222222222221</v>
      </c>
      <c r="G47" s="11">
        <f t="shared" si="15"/>
        <v>6160</v>
      </c>
      <c r="H47" s="11">
        <f t="shared" si="16"/>
        <v>26765.868222534093</v>
      </c>
      <c r="I47" s="11">
        <f t="shared" si="18"/>
        <v>2378.5311568237667</v>
      </c>
      <c r="J47" s="11">
        <f t="shared" si="17"/>
        <v>2094</v>
      </c>
      <c r="K47" s="20">
        <f t="shared" si="19"/>
        <v>1</v>
      </c>
    </row>
    <row r="48" spans="1:11">
      <c r="A48" s="20">
        <v>15</v>
      </c>
      <c r="B48" s="16">
        <f t="shared" si="10"/>
        <v>651.73417492414967</v>
      </c>
      <c r="C48" s="16">
        <f t="shared" si="11"/>
        <v>651.73417492414967</v>
      </c>
      <c r="D48" s="16">
        <f t="shared" si="12"/>
        <v>0</v>
      </c>
      <c r="E48" s="11">
        <f t="shared" si="13"/>
        <v>22629.658851532975</v>
      </c>
      <c r="F48" s="11">
        <f t="shared" si="14"/>
        <v>34.722222222222221</v>
      </c>
      <c r="G48" s="11">
        <f t="shared" si="15"/>
        <v>6600</v>
      </c>
      <c r="H48" s="11">
        <f t="shared" si="16"/>
        <v>29229.658851532975</v>
      </c>
      <c r="I48" s="11">
        <f t="shared" si="18"/>
        <v>2463.7906289988823</v>
      </c>
      <c r="J48" s="11">
        <f t="shared" si="17"/>
        <v>2094</v>
      </c>
      <c r="K48" s="20">
        <f t="shared" si="19"/>
        <v>1</v>
      </c>
    </row>
    <row r="49" spans="1:11">
      <c r="A49" s="20">
        <v>16</v>
      </c>
      <c r="B49" s="16">
        <f t="shared" si="10"/>
        <v>712.5626979170703</v>
      </c>
      <c r="C49" s="16">
        <f t="shared" si="11"/>
        <v>712.5626979170703</v>
      </c>
      <c r="D49" s="16">
        <f t="shared" si="12"/>
        <v>0</v>
      </c>
      <c r="E49" s="11">
        <f t="shared" si="13"/>
        <v>24741.760344342718</v>
      </c>
      <c r="F49" s="11">
        <f t="shared" si="14"/>
        <v>34.722222222222221</v>
      </c>
      <c r="G49" s="11">
        <f t="shared" si="15"/>
        <v>7040</v>
      </c>
      <c r="H49" s="11">
        <f t="shared" si="16"/>
        <v>31781.760344342718</v>
      </c>
      <c r="I49" s="11">
        <f t="shared" si="18"/>
        <v>2552.1014928097429</v>
      </c>
      <c r="J49" s="11">
        <f t="shared" si="17"/>
        <v>2094</v>
      </c>
      <c r="K49" s="20">
        <f t="shared" si="19"/>
        <v>1</v>
      </c>
    </row>
    <row r="50" spans="1:11">
      <c r="A50" s="20">
        <v>17</v>
      </c>
      <c r="B50" s="16">
        <f t="shared" si="10"/>
        <v>776.02531320030937</v>
      </c>
      <c r="C50" s="16">
        <f t="shared" si="11"/>
        <v>720</v>
      </c>
      <c r="D50" s="16">
        <f t="shared" si="12"/>
        <v>56.02531320030937</v>
      </c>
      <c r="E50" s="11">
        <f t="shared" si="13"/>
        <v>25972.66168750537</v>
      </c>
      <c r="F50" s="11">
        <f t="shared" si="14"/>
        <v>33.46883309823329</v>
      </c>
      <c r="G50" s="11">
        <f t="shared" si="15"/>
        <v>7480</v>
      </c>
      <c r="H50" s="11">
        <f t="shared" si="16"/>
        <v>33452.661687505373</v>
      </c>
      <c r="I50" s="11">
        <f t="shared" si="18"/>
        <v>1670.9013431626554</v>
      </c>
      <c r="J50" s="11">
        <f t="shared" si="17"/>
        <v>2094</v>
      </c>
      <c r="K50" s="20">
        <f t="shared" si="19"/>
        <v>0</v>
      </c>
    </row>
    <row r="51" spans="1:11">
      <c r="A51" s="20">
        <v>18</v>
      </c>
      <c r="B51" s="16">
        <f t="shared" si="10"/>
        <v>842.2157075615122</v>
      </c>
      <c r="C51" s="16">
        <f t="shared" si="11"/>
        <v>720</v>
      </c>
      <c r="D51" s="16">
        <f t="shared" si="12"/>
        <v>122.2157075615122</v>
      </c>
      <c r="E51" s="11">
        <f t="shared" si="13"/>
        <v>27121.800478498477</v>
      </c>
      <c r="F51" s="11">
        <f t="shared" si="14"/>
        <v>32.202914568080061</v>
      </c>
      <c r="G51" s="11">
        <f t="shared" si="15"/>
        <v>7920</v>
      </c>
      <c r="H51" s="11">
        <f t="shared" si="16"/>
        <v>35041.800478498481</v>
      </c>
      <c r="I51" s="11">
        <f t="shared" si="18"/>
        <v>1589.1387909931072</v>
      </c>
      <c r="J51" s="11">
        <f t="shared" si="17"/>
        <v>2094</v>
      </c>
      <c r="K51" s="20">
        <f t="shared" si="19"/>
        <v>0</v>
      </c>
    </row>
    <row r="52" spans="1:11">
      <c r="A52" s="20">
        <v>19</v>
      </c>
      <c r="B52" s="16">
        <f t="shared" si="10"/>
        <v>911.23060582002495</v>
      </c>
      <c r="C52" s="16">
        <f t="shared" si="11"/>
        <v>720</v>
      </c>
      <c r="D52" s="16">
        <f t="shared" si="12"/>
        <v>191.23060582002495</v>
      </c>
      <c r="E52" s="11">
        <f t="shared" si="13"/>
        <v>28319.975795486545</v>
      </c>
      <c r="F52" s="11">
        <f t="shared" si="14"/>
        <v>31.078824190722976</v>
      </c>
      <c r="G52" s="11">
        <f t="shared" si="15"/>
        <v>8360</v>
      </c>
      <c r="H52" s="11">
        <f t="shared" si="16"/>
        <v>36679.975795486549</v>
      </c>
      <c r="I52" s="11">
        <f t="shared" si="18"/>
        <v>1638.1753169880685</v>
      </c>
      <c r="J52" s="11">
        <f t="shared" si="17"/>
        <v>2094</v>
      </c>
      <c r="K52" s="20">
        <f t="shared" si="19"/>
        <v>0</v>
      </c>
    </row>
    <row r="53" spans="1:11">
      <c r="A53" s="20">
        <v>20</v>
      </c>
      <c r="B53" s="16">
        <f t="shared" si="10"/>
        <v>983.16986417423732</v>
      </c>
      <c r="C53" s="16">
        <f t="shared" si="11"/>
        <v>720</v>
      </c>
      <c r="D53" s="16">
        <f t="shared" si="12"/>
        <v>263.16986417423732</v>
      </c>
      <c r="E53" s="11">
        <f t="shared" si="13"/>
        <v>29568.921253024953</v>
      </c>
      <c r="F53" s="11">
        <f t="shared" si="14"/>
        <v>30.075089087336742</v>
      </c>
      <c r="G53" s="11">
        <f t="shared" si="15"/>
        <v>8800</v>
      </c>
      <c r="H53" s="11">
        <f t="shared" si="16"/>
        <v>38368.92125302495</v>
      </c>
      <c r="I53" s="11">
        <f t="shared" si="18"/>
        <v>1688.9454575384007</v>
      </c>
      <c r="J53" s="11">
        <f t="shared" si="17"/>
        <v>2094</v>
      </c>
      <c r="K53" s="20">
        <f t="shared" si="19"/>
        <v>0</v>
      </c>
    </row>
    <row r="55" spans="1:11">
      <c r="A55" s="3" t="s">
        <v>101</v>
      </c>
      <c r="B55" s="21">
        <f>IF(ISNA(MATCH(1,'Marginal Cost Schedules'!$K$34:$K$53,0)),CAR_CAP,MATCH(1,'Marginal Cost Schedules'!$K$34:$K$53,0)-1)</f>
        <v>10</v>
      </c>
    </row>
    <row r="58" spans="1:11" ht="16">
      <c r="A58" s="9" t="s">
        <v>76</v>
      </c>
    </row>
    <row r="59" spans="1:11" ht="30">
      <c r="A59" s="19" t="s">
        <v>88</v>
      </c>
      <c r="B59" s="19" t="s">
        <v>89</v>
      </c>
      <c r="C59" s="19" t="s">
        <v>90</v>
      </c>
      <c r="D59" s="19" t="s">
        <v>91</v>
      </c>
      <c r="E59" s="19" t="s">
        <v>92</v>
      </c>
      <c r="F59" s="19" t="s">
        <v>93</v>
      </c>
      <c r="G59" s="19" t="s">
        <v>79</v>
      </c>
      <c r="H59" s="19" t="s">
        <v>94</v>
      </c>
      <c r="I59" s="19" t="s">
        <v>95</v>
      </c>
      <c r="J59" s="19" t="s">
        <v>96</v>
      </c>
      <c r="K59" s="19" t="s">
        <v>97</v>
      </c>
    </row>
    <row r="60" spans="1:11">
      <c r="A60" s="20">
        <v>0</v>
      </c>
      <c r="B60" s="16">
        <f t="shared" ref="B60:B90" si="20">A60*MES_HRS*WEEKS*(1+MES_DIM)^A60</f>
        <v>0</v>
      </c>
      <c r="C60" s="16">
        <f t="shared" ref="C60:C90" si="21">MIN(B60,OWN_HRS)</f>
        <v>0</v>
      </c>
      <c r="D60" s="16">
        <f t="shared" ref="D60:D90" si="22">MAX(B60-OWN_HRS,0)</f>
        <v>0</v>
      </c>
      <c r="E60" s="11">
        <f t="shared" ref="E60:E90" si="23">C60*OWN_RATE+D60*WORKER_RATE</f>
        <v>0</v>
      </c>
      <c r="F60" s="11">
        <f t="shared" ref="F60:F90" si="24">IF(B60=0,0,E60/B60)</f>
        <v>0</v>
      </c>
      <c r="G60" s="11">
        <f t="shared" ref="G60:G90" si="25">A60*MES_FERT</f>
        <v>0</v>
      </c>
      <c r="H60" s="11">
        <f t="shared" ref="H60:H90" si="26">E60+G60</f>
        <v>0</v>
      </c>
      <c r="I60" s="5" t="s">
        <v>98</v>
      </c>
      <c r="J60" s="11">
        <f t="shared" ref="J60:J90" si="27">MES_PRICE</f>
        <v>2700</v>
      </c>
      <c r="K60" s="5"/>
    </row>
    <row r="61" spans="1:11">
      <c r="A61" s="20">
        <v>1</v>
      </c>
      <c r="B61" s="16">
        <f t="shared" si="20"/>
        <v>45.5625</v>
      </c>
      <c r="C61" s="16">
        <f t="shared" si="21"/>
        <v>45.5625</v>
      </c>
      <c r="D61" s="16">
        <f t="shared" si="22"/>
        <v>0</v>
      </c>
      <c r="E61" s="11">
        <f t="shared" si="23"/>
        <v>1582.03125</v>
      </c>
      <c r="F61" s="11">
        <f t="shared" si="24"/>
        <v>34.722222222222221</v>
      </c>
      <c r="G61" s="11">
        <f t="shared" si="25"/>
        <v>880</v>
      </c>
      <c r="H61" s="11">
        <f t="shared" si="26"/>
        <v>2462.03125</v>
      </c>
      <c r="I61" s="11">
        <f t="shared" ref="I61:I90" si="28">H61-H60</f>
        <v>2462.03125</v>
      </c>
      <c r="J61" s="11">
        <f t="shared" si="27"/>
        <v>2700</v>
      </c>
      <c r="K61" s="20">
        <f t="shared" ref="K61:K90" si="29">IF(I61&gt;=MES_PRICE,1,0)</f>
        <v>0</v>
      </c>
    </row>
    <row r="62" spans="1:11">
      <c r="A62" s="20">
        <v>2</v>
      </c>
      <c r="B62" s="16">
        <f t="shared" si="20"/>
        <v>92.264062499999994</v>
      </c>
      <c r="C62" s="16">
        <f t="shared" si="21"/>
        <v>92.264062499999994</v>
      </c>
      <c r="D62" s="16">
        <f t="shared" si="22"/>
        <v>0</v>
      </c>
      <c r="E62" s="11">
        <f t="shared" si="23"/>
        <v>3203.6132812499995</v>
      </c>
      <c r="F62" s="11">
        <f t="shared" si="24"/>
        <v>34.722222222222221</v>
      </c>
      <c r="G62" s="11">
        <f t="shared" si="25"/>
        <v>1760</v>
      </c>
      <c r="H62" s="11">
        <f t="shared" si="26"/>
        <v>4963.61328125</v>
      </c>
      <c r="I62" s="11">
        <f t="shared" si="28"/>
        <v>2501.58203125</v>
      </c>
      <c r="J62" s="11">
        <f t="shared" si="27"/>
        <v>2700</v>
      </c>
      <c r="K62" s="20">
        <f t="shared" si="29"/>
        <v>0</v>
      </c>
    </row>
    <row r="63" spans="1:11">
      <c r="A63" s="20">
        <v>3</v>
      </c>
      <c r="B63" s="16">
        <f t="shared" si="20"/>
        <v>140.12604492187498</v>
      </c>
      <c r="C63" s="16">
        <f t="shared" si="21"/>
        <v>140.12604492187498</v>
      </c>
      <c r="D63" s="16">
        <f t="shared" si="22"/>
        <v>0</v>
      </c>
      <c r="E63" s="11">
        <f t="shared" si="23"/>
        <v>4865.4876708984366</v>
      </c>
      <c r="F63" s="11">
        <f t="shared" si="24"/>
        <v>34.722222222222221</v>
      </c>
      <c r="G63" s="11">
        <f t="shared" si="25"/>
        <v>2640</v>
      </c>
      <c r="H63" s="11">
        <f t="shared" si="26"/>
        <v>7505.4876708984366</v>
      </c>
      <c r="I63" s="11">
        <f t="shared" si="28"/>
        <v>2541.8743896484366</v>
      </c>
      <c r="J63" s="11">
        <f t="shared" si="27"/>
        <v>2700</v>
      </c>
      <c r="K63" s="20">
        <f t="shared" si="29"/>
        <v>0</v>
      </c>
    </row>
    <row r="64" spans="1:11">
      <c r="A64" s="20">
        <v>4</v>
      </c>
      <c r="B64" s="16">
        <f t="shared" si="20"/>
        <v>189.17016064453125</v>
      </c>
      <c r="C64" s="16">
        <f t="shared" si="21"/>
        <v>189.17016064453125</v>
      </c>
      <c r="D64" s="16">
        <f t="shared" si="22"/>
        <v>0</v>
      </c>
      <c r="E64" s="11">
        <f t="shared" si="23"/>
        <v>6568.4083557128906</v>
      </c>
      <c r="F64" s="11">
        <f t="shared" si="24"/>
        <v>34.722222222222221</v>
      </c>
      <c r="G64" s="11">
        <f t="shared" si="25"/>
        <v>3520</v>
      </c>
      <c r="H64" s="11">
        <f t="shared" si="26"/>
        <v>10088.408355712891</v>
      </c>
      <c r="I64" s="11">
        <f t="shared" si="28"/>
        <v>2582.920684814454</v>
      </c>
      <c r="J64" s="11">
        <f t="shared" si="27"/>
        <v>2700</v>
      </c>
      <c r="K64" s="20">
        <f t="shared" si="29"/>
        <v>0</v>
      </c>
    </row>
    <row r="65" spans="1:11">
      <c r="A65" s="20">
        <v>5</v>
      </c>
      <c r="B65" s="16">
        <f t="shared" si="20"/>
        <v>239.41848456573481</v>
      </c>
      <c r="C65" s="16">
        <f t="shared" si="21"/>
        <v>239.41848456573481</v>
      </c>
      <c r="D65" s="16">
        <f t="shared" si="22"/>
        <v>0</v>
      </c>
      <c r="E65" s="11">
        <f t="shared" si="23"/>
        <v>8313.1418251991254</v>
      </c>
      <c r="F65" s="11">
        <f t="shared" si="24"/>
        <v>34.722222222222221</v>
      </c>
      <c r="G65" s="11">
        <f t="shared" si="25"/>
        <v>4400</v>
      </c>
      <c r="H65" s="11">
        <f t="shared" si="26"/>
        <v>12713.141825199125</v>
      </c>
      <c r="I65" s="11">
        <f t="shared" si="28"/>
        <v>2624.7334694862348</v>
      </c>
      <c r="J65" s="11">
        <f t="shared" si="27"/>
        <v>2700</v>
      </c>
      <c r="K65" s="20">
        <f t="shared" si="29"/>
        <v>0</v>
      </c>
    </row>
    <row r="66" spans="1:11">
      <c r="A66" s="20">
        <v>6</v>
      </c>
      <c r="B66" s="16">
        <f t="shared" si="20"/>
        <v>290.89345874736784</v>
      </c>
      <c r="C66" s="16">
        <f t="shared" si="21"/>
        <v>290.89345874736784</v>
      </c>
      <c r="D66" s="16">
        <f t="shared" si="22"/>
        <v>0</v>
      </c>
      <c r="E66" s="11">
        <f t="shared" si="23"/>
        <v>10100.467317616938</v>
      </c>
      <c r="F66" s="11">
        <f t="shared" si="24"/>
        <v>34.722222222222221</v>
      </c>
      <c r="G66" s="11">
        <f t="shared" si="25"/>
        <v>5280</v>
      </c>
      <c r="H66" s="11">
        <f t="shared" si="26"/>
        <v>15380.467317616938</v>
      </c>
      <c r="I66" s="11">
        <f t="shared" si="28"/>
        <v>2667.3254924178127</v>
      </c>
      <c r="J66" s="11">
        <f t="shared" si="27"/>
        <v>2700</v>
      </c>
      <c r="K66" s="20">
        <f t="shared" si="29"/>
        <v>0</v>
      </c>
    </row>
    <row r="67" spans="1:11">
      <c r="A67" s="20">
        <v>7</v>
      </c>
      <c r="B67" s="16">
        <f t="shared" si="20"/>
        <v>343.61789814532818</v>
      </c>
      <c r="C67" s="16">
        <f t="shared" si="21"/>
        <v>343.61789814532818</v>
      </c>
      <c r="D67" s="16">
        <f t="shared" si="22"/>
        <v>0</v>
      </c>
      <c r="E67" s="11">
        <f t="shared" si="23"/>
        <v>11931.177018935006</v>
      </c>
      <c r="F67" s="11">
        <f t="shared" si="24"/>
        <v>34.722222222222221</v>
      </c>
      <c r="G67" s="11">
        <f t="shared" si="25"/>
        <v>6160</v>
      </c>
      <c r="H67" s="11">
        <f t="shared" si="26"/>
        <v>18091.177018935006</v>
      </c>
      <c r="I67" s="11">
        <f t="shared" si="28"/>
        <v>2710.7097013180683</v>
      </c>
      <c r="J67" s="11">
        <f t="shared" si="27"/>
        <v>2700</v>
      </c>
      <c r="K67" s="20">
        <f t="shared" si="29"/>
        <v>1</v>
      </c>
    </row>
    <row r="68" spans="1:11">
      <c r="A68" s="20">
        <v>8</v>
      </c>
      <c r="B68" s="16">
        <f t="shared" si="20"/>
        <v>397.61499642530839</v>
      </c>
      <c r="C68" s="16">
        <f t="shared" si="21"/>
        <v>397.61499642530839</v>
      </c>
      <c r="D68" s="16">
        <f t="shared" si="22"/>
        <v>0</v>
      </c>
      <c r="E68" s="11">
        <f t="shared" si="23"/>
        <v>13806.076264767653</v>
      </c>
      <c r="F68" s="11">
        <f t="shared" si="24"/>
        <v>34.722222222222221</v>
      </c>
      <c r="G68" s="11">
        <f t="shared" si="25"/>
        <v>7040</v>
      </c>
      <c r="H68" s="11">
        <f t="shared" si="26"/>
        <v>20846.076264767653</v>
      </c>
      <c r="I68" s="11">
        <f t="shared" si="28"/>
        <v>2754.8992458326466</v>
      </c>
      <c r="J68" s="11">
        <f t="shared" si="27"/>
        <v>2700</v>
      </c>
      <c r="K68" s="20">
        <f t="shared" si="29"/>
        <v>1</v>
      </c>
    </row>
    <row r="69" spans="1:11">
      <c r="A69" s="20">
        <v>9</v>
      </c>
      <c r="B69" s="16">
        <f t="shared" si="20"/>
        <v>452.90833186570285</v>
      </c>
      <c r="C69" s="16">
        <f t="shared" si="21"/>
        <v>452.90833186570285</v>
      </c>
      <c r="D69" s="16">
        <f t="shared" si="22"/>
        <v>0</v>
      </c>
      <c r="E69" s="11">
        <f t="shared" si="23"/>
        <v>15725.983745336904</v>
      </c>
      <c r="F69" s="11">
        <f t="shared" si="24"/>
        <v>34.722222222222221</v>
      </c>
      <c r="G69" s="11">
        <f t="shared" si="25"/>
        <v>7920</v>
      </c>
      <c r="H69" s="11">
        <f t="shared" si="26"/>
        <v>23645.983745336904</v>
      </c>
      <c r="I69" s="11">
        <f t="shared" si="28"/>
        <v>2799.9074805692508</v>
      </c>
      <c r="J69" s="11">
        <f t="shared" si="27"/>
        <v>2700</v>
      </c>
      <c r="K69" s="20">
        <f t="shared" si="29"/>
        <v>1</v>
      </c>
    </row>
    <row r="70" spans="1:11">
      <c r="A70" s="20">
        <v>10</v>
      </c>
      <c r="B70" s="16">
        <f t="shared" si="20"/>
        <v>509.52187334891573</v>
      </c>
      <c r="C70" s="16">
        <f t="shared" si="21"/>
        <v>509.52187334891573</v>
      </c>
      <c r="D70" s="16">
        <f t="shared" si="22"/>
        <v>0</v>
      </c>
      <c r="E70" s="11">
        <f t="shared" si="23"/>
        <v>17691.731713504018</v>
      </c>
      <c r="F70" s="11">
        <f t="shared" si="24"/>
        <v>34.722222222222221</v>
      </c>
      <c r="G70" s="11">
        <f t="shared" si="25"/>
        <v>8800</v>
      </c>
      <c r="H70" s="11">
        <f t="shared" si="26"/>
        <v>26491.731713504018</v>
      </c>
      <c r="I70" s="11">
        <f t="shared" si="28"/>
        <v>2845.7479681671139</v>
      </c>
      <c r="J70" s="11">
        <f t="shared" si="27"/>
        <v>2700</v>
      </c>
      <c r="K70" s="20">
        <f t="shared" si="29"/>
        <v>1</v>
      </c>
    </row>
    <row r="71" spans="1:11">
      <c r="A71" s="20">
        <v>11</v>
      </c>
      <c r="B71" s="16">
        <f t="shared" si="20"/>
        <v>567.47998644235474</v>
      </c>
      <c r="C71" s="16">
        <f t="shared" si="21"/>
        <v>567.47998644235474</v>
      </c>
      <c r="D71" s="16">
        <f t="shared" si="22"/>
        <v>0</v>
      </c>
      <c r="E71" s="11">
        <f t="shared" si="23"/>
        <v>19704.166195915095</v>
      </c>
      <c r="F71" s="11">
        <f t="shared" si="24"/>
        <v>34.722222222222221</v>
      </c>
      <c r="G71" s="11">
        <f t="shared" si="25"/>
        <v>9680</v>
      </c>
      <c r="H71" s="11">
        <f t="shared" si="26"/>
        <v>29384.166195915095</v>
      </c>
      <c r="I71" s="11">
        <f t="shared" si="28"/>
        <v>2892.4344824110776</v>
      </c>
      <c r="J71" s="11">
        <f t="shared" si="27"/>
        <v>2700</v>
      </c>
      <c r="K71" s="20">
        <f t="shared" si="29"/>
        <v>1</v>
      </c>
    </row>
    <row r="72" spans="1:11">
      <c r="A72" s="20">
        <v>12</v>
      </c>
      <c r="B72" s="16">
        <f t="shared" si="20"/>
        <v>626.80743957041921</v>
      </c>
      <c r="C72" s="16">
        <f t="shared" si="21"/>
        <v>626.80743957041921</v>
      </c>
      <c r="D72" s="16">
        <f t="shared" si="22"/>
        <v>0</v>
      </c>
      <c r="E72" s="11">
        <f t="shared" si="23"/>
        <v>21764.147207306221</v>
      </c>
      <c r="F72" s="11">
        <f t="shared" si="24"/>
        <v>34.722222222222221</v>
      </c>
      <c r="G72" s="11">
        <f t="shared" si="25"/>
        <v>10560</v>
      </c>
      <c r="H72" s="11">
        <f t="shared" si="26"/>
        <v>32324.147207306221</v>
      </c>
      <c r="I72" s="11">
        <f t="shared" si="28"/>
        <v>2939.9810113911262</v>
      </c>
      <c r="J72" s="11">
        <f t="shared" si="27"/>
        <v>2700</v>
      </c>
      <c r="K72" s="20">
        <f t="shared" si="29"/>
        <v>1</v>
      </c>
    </row>
    <row r="73" spans="1:11">
      <c r="A73" s="20">
        <v>13</v>
      </c>
      <c r="B73" s="16">
        <f t="shared" si="20"/>
        <v>687.52941027880343</v>
      </c>
      <c r="C73" s="16">
        <f t="shared" si="21"/>
        <v>687.52941027880343</v>
      </c>
      <c r="D73" s="16">
        <f t="shared" si="22"/>
        <v>0</v>
      </c>
      <c r="E73" s="11">
        <f t="shared" si="23"/>
        <v>23872.548968014009</v>
      </c>
      <c r="F73" s="11">
        <f t="shared" si="24"/>
        <v>34.722222222222221</v>
      </c>
      <c r="G73" s="11">
        <f t="shared" si="25"/>
        <v>11440</v>
      </c>
      <c r="H73" s="11">
        <f t="shared" si="26"/>
        <v>35312.548968014009</v>
      </c>
      <c r="I73" s="11">
        <f t="shared" si="28"/>
        <v>2988.4017607077876</v>
      </c>
      <c r="J73" s="11">
        <f t="shared" si="27"/>
        <v>2700</v>
      </c>
      <c r="K73" s="20">
        <f t="shared" si="29"/>
        <v>1</v>
      </c>
    </row>
    <row r="74" spans="1:11">
      <c r="A74" s="20">
        <v>14</v>
      </c>
      <c r="B74" s="16">
        <f t="shared" si="20"/>
        <v>749.67149159246469</v>
      </c>
      <c r="C74" s="16">
        <f t="shared" si="21"/>
        <v>720</v>
      </c>
      <c r="D74" s="16">
        <f t="shared" si="22"/>
        <v>29.67149159246469</v>
      </c>
      <c r="E74" s="11">
        <f t="shared" si="23"/>
        <v>25515.130062369179</v>
      </c>
      <c r="F74" s="11">
        <f t="shared" si="24"/>
        <v>34.035081163576749</v>
      </c>
      <c r="G74" s="11">
        <f t="shared" si="25"/>
        <v>12320</v>
      </c>
      <c r="H74" s="11">
        <f t="shared" si="26"/>
        <v>37835.130062369179</v>
      </c>
      <c r="I74" s="11">
        <f t="shared" si="28"/>
        <v>2522.5810943551696</v>
      </c>
      <c r="J74" s="11">
        <f t="shared" si="27"/>
        <v>2700</v>
      </c>
      <c r="K74" s="20">
        <f t="shared" si="29"/>
        <v>0</v>
      </c>
    </row>
    <row r="75" spans="1:11">
      <c r="A75" s="20">
        <v>15</v>
      </c>
      <c r="B75" s="16">
        <f t="shared" si="20"/>
        <v>813.25969846861108</v>
      </c>
      <c r="C75" s="16">
        <f t="shared" si="21"/>
        <v>720</v>
      </c>
      <c r="D75" s="16">
        <f t="shared" si="22"/>
        <v>93.259698468611077</v>
      </c>
      <c r="E75" s="11">
        <f t="shared" si="23"/>
        <v>26619.091987302276</v>
      </c>
      <c r="F75" s="11">
        <f t="shared" si="24"/>
        <v>32.731355110091783</v>
      </c>
      <c r="G75" s="11">
        <f t="shared" si="25"/>
        <v>13200</v>
      </c>
      <c r="H75" s="11">
        <f t="shared" si="26"/>
        <v>39819.091987302279</v>
      </c>
      <c r="I75" s="11">
        <f t="shared" si="28"/>
        <v>1983.9619249331008</v>
      </c>
      <c r="J75" s="11">
        <f t="shared" si="27"/>
        <v>2700</v>
      </c>
      <c r="K75" s="20">
        <f t="shared" si="29"/>
        <v>0</v>
      </c>
    </row>
    <row r="76" spans="1:11">
      <c r="A76" s="20">
        <v>16</v>
      </c>
      <c r="B76" s="16">
        <f t="shared" si="20"/>
        <v>878.32047434610013</v>
      </c>
      <c r="C76" s="16">
        <f t="shared" si="21"/>
        <v>720</v>
      </c>
      <c r="D76" s="16">
        <f t="shared" si="22"/>
        <v>158.32047434610013</v>
      </c>
      <c r="E76" s="11">
        <f t="shared" si="23"/>
        <v>27748.619346286461</v>
      </c>
      <c r="F76" s="11">
        <f t="shared" si="24"/>
        <v>31.592818517574695</v>
      </c>
      <c r="G76" s="11">
        <f t="shared" si="25"/>
        <v>14080</v>
      </c>
      <c r="H76" s="11">
        <f t="shared" si="26"/>
        <v>41828.619346286461</v>
      </c>
      <c r="I76" s="11">
        <f t="shared" si="28"/>
        <v>2009.5273589841818</v>
      </c>
      <c r="J76" s="11">
        <f t="shared" si="27"/>
        <v>2700</v>
      </c>
      <c r="K76" s="20">
        <f t="shared" si="29"/>
        <v>0</v>
      </c>
    </row>
    <row r="77" spans="1:11">
      <c r="A77" s="20">
        <v>17</v>
      </c>
      <c r="B77" s="16">
        <f t="shared" si="20"/>
        <v>944.88069779264049</v>
      </c>
      <c r="C77" s="16">
        <f t="shared" si="21"/>
        <v>720</v>
      </c>
      <c r="D77" s="16">
        <f t="shared" si="22"/>
        <v>224.88069779264049</v>
      </c>
      <c r="E77" s="11">
        <f t="shared" si="23"/>
        <v>28904.178781122231</v>
      </c>
      <c r="F77" s="11">
        <f t="shared" si="24"/>
        <v>30.590294466429476</v>
      </c>
      <c r="G77" s="11">
        <f t="shared" si="25"/>
        <v>14960</v>
      </c>
      <c r="H77" s="11">
        <f t="shared" si="26"/>
        <v>43864.178781122231</v>
      </c>
      <c r="I77" s="11">
        <f t="shared" si="28"/>
        <v>2035.5594348357699</v>
      </c>
      <c r="J77" s="11">
        <f t="shared" si="27"/>
        <v>2700</v>
      </c>
      <c r="K77" s="20">
        <f t="shared" si="29"/>
        <v>0</v>
      </c>
    </row>
    <row r="78" spans="1:11">
      <c r="A78" s="20">
        <v>18</v>
      </c>
      <c r="B78" s="16">
        <f t="shared" si="20"/>
        <v>1012.9676892512279</v>
      </c>
      <c r="C78" s="16">
        <f t="shared" si="21"/>
        <v>720</v>
      </c>
      <c r="D78" s="16">
        <f t="shared" si="22"/>
        <v>292.96768925122785</v>
      </c>
      <c r="E78" s="11">
        <f t="shared" si="23"/>
        <v>30086.244605056039</v>
      </c>
      <c r="F78" s="11">
        <f t="shared" si="24"/>
        <v>29.701090098239352</v>
      </c>
      <c r="G78" s="11">
        <f t="shared" si="25"/>
        <v>15840</v>
      </c>
      <c r="H78" s="11">
        <f t="shared" si="26"/>
        <v>45926.244605056039</v>
      </c>
      <c r="I78" s="11">
        <f t="shared" si="28"/>
        <v>2062.0658239338081</v>
      </c>
      <c r="J78" s="11">
        <f t="shared" si="27"/>
        <v>2700</v>
      </c>
      <c r="K78" s="20">
        <f t="shared" si="29"/>
        <v>0</v>
      </c>
    </row>
    <row r="79" spans="1:11">
      <c r="A79" s="20">
        <v>19</v>
      </c>
      <c r="B79" s="16">
        <f t="shared" si="20"/>
        <v>1082.6092178872495</v>
      </c>
      <c r="C79" s="16">
        <f t="shared" si="21"/>
        <v>720</v>
      </c>
      <c r="D79" s="16">
        <f t="shared" si="22"/>
        <v>362.60921788724954</v>
      </c>
      <c r="E79" s="11">
        <f t="shared" si="23"/>
        <v>31295.298921653637</v>
      </c>
      <c r="F79" s="11">
        <f t="shared" si="24"/>
        <v>28.907290280353909</v>
      </c>
      <c r="G79" s="11">
        <f t="shared" si="25"/>
        <v>16720</v>
      </c>
      <c r="H79" s="11">
        <f t="shared" si="26"/>
        <v>48015.298921653637</v>
      </c>
      <c r="I79" s="11">
        <f t="shared" si="28"/>
        <v>2089.0543165975978</v>
      </c>
      <c r="J79" s="11">
        <f t="shared" si="27"/>
        <v>2700</v>
      </c>
      <c r="K79" s="20">
        <f t="shared" si="29"/>
        <v>0</v>
      </c>
    </row>
    <row r="80" spans="1:11">
      <c r="A80" s="20">
        <v>20</v>
      </c>
      <c r="B80" s="16">
        <f t="shared" si="20"/>
        <v>1153.8335085377266</v>
      </c>
      <c r="C80" s="16">
        <f t="shared" si="21"/>
        <v>720</v>
      </c>
      <c r="D80" s="16">
        <f t="shared" si="22"/>
        <v>433.83350853772663</v>
      </c>
      <c r="E80" s="11">
        <f t="shared" si="23"/>
        <v>32531.831745446641</v>
      </c>
      <c r="F80" s="11">
        <f t="shared" si="24"/>
        <v>28.19456317114139</v>
      </c>
      <c r="G80" s="11">
        <f t="shared" si="25"/>
        <v>17600</v>
      </c>
      <c r="H80" s="11">
        <f t="shared" si="26"/>
        <v>50131.831745446645</v>
      </c>
      <c r="I80" s="11">
        <f t="shared" si="28"/>
        <v>2116.532823793008</v>
      </c>
      <c r="J80" s="11">
        <f t="shared" si="27"/>
        <v>2700</v>
      </c>
      <c r="K80" s="20">
        <f t="shared" si="29"/>
        <v>0</v>
      </c>
    </row>
    <row r="81" spans="1:11">
      <c r="A81" s="20">
        <v>21</v>
      </c>
      <c r="B81" s="16">
        <f t="shared" si="20"/>
        <v>1226.6692487641703</v>
      </c>
      <c r="C81" s="16">
        <f t="shared" si="21"/>
        <v>720</v>
      </c>
      <c r="D81" s="16">
        <f t="shared" si="22"/>
        <v>506.66924876417033</v>
      </c>
      <c r="E81" s="11">
        <f t="shared" si="23"/>
        <v>33796.341124377956</v>
      </c>
      <c r="F81" s="11">
        <f t="shared" si="24"/>
        <v>27.551307052350648</v>
      </c>
      <c r="G81" s="11">
        <f t="shared" si="25"/>
        <v>18480</v>
      </c>
      <c r="H81" s="11">
        <f t="shared" si="26"/>
        <v>52276.341124377956</v>
      </c>
      <c r="I81" s="11">
        <f t="shared" si="28"/>
        <v>2144.5093789313105</v>
      </c>
      <c r="J81" s="11">
        <f t="shared" si="27"/>
        <v>2700</v>
      </c>
      <c r="K81" s="20">
        <f t="shared" si="29"/>
        <v>0</v>
      </c>
    </row>
    <row r="82" spans="1:11">
      <c r="A82" s="20">
        <v>22</v>
      </c>
      <c r="B82" s="16">
        <f t="shared" si="20"/>
        <v>1301.1455960105666</v>
      </c>
      <c r="C82" s="16">
        <f t="shared" si="21"/>
        <v>720</v>
      </c>
      <c r="D82" s="16">
        <f t="shared" si="22"/>
        <v>581.14559601056658</v>
      </c>
      <c r="E82" s="11">
        <f t="shared" si="23"/>
        <v>35089.333264072338</v>
      </c>
      <c r="F82" s="11">
        <f t="shared" si="24"/>
        <v>26.968029843592831</v>
      </c>
      <c r="G82" s="11">
        <f t="shared" si="25"/>
        <v>19360</v>
      </c>
      <c r="H82" s="11">
        <f t="shared" si="26"/>
        <v>54449.333264072338</v>
      </c>
      <c r="I82" s="11">
        <f t="shared" si="28"/>
        <v>2172.9921396943828</v>
      </c>
      <c r="J82" s="11">
        <f t="shared" si="27"/>
        <v>2700</v>
      </c>
      <c r="K82" s="20">
        <f t="shared" si="29"/>
        <v>0</v>
      </c>
    </row>
    <row r="83" spans="1:11">
      <c r="A83" s="20">
        <v>23</v>
      </c>
      <c r="B83" s="16">
        <f t="shared" si="20"/>
        <v>1377.292184868003</v>
      </c>
      <c r="C83" s="16">
        <f t="shared" si="21"/>
        <v>720</v>
      </c>
      <c r="D83" s="16">
        <f t="shared" si="22"/>
        <v>657.29218486800301</v>
      </c>
      <c r="E83" s="11">
        <f t="shared" si="23"/>
        <v>36411.322653958385</v>
      </c>
      <c r="F83" s="11">
        <f t="shared" si="24"/>
        <v>26.436890482645101</v>
      </c>
      <c r="G83" s="11">
        <f t="shared" si="25"/>
        <v>20240</v>
      </c>
      <c r="H83" s="11">
        <f t="shared" si="26"/>
        <v>56651.322653958385</v>
      </c>
      <c r="I83" s="11">
        <f t="shared" si="28"/>
        <v>2201.9893898860464</v>
      </c>
      <c r="J83" s="11">
        <f t="shared" si="27"/>
        <v>2700</v>
      </c>
      <c r="K83" s="20">
        <f t="shared" si="29"/>
        <v>0</v>
      </c>
    </row>
    <row r="84" spans="1:11">
      <c r="A84" s="20">
        <v>24</v>
      </c>
      <c r="B84" s="16">
        <f t="shared" si="20"/>
        <v>1455.1391344474989</v>
      </c>
      <c r="C84" s="16">
        <f t="shared" si="21"/>
        <v>720</v>
      </c>
      <c r="D84" s="16">
        <f t="shared" si="22"/>
        <v>735.13913444749892</v>
      </c>
      <c r="E84" s="11">
        <f t="shared" si="23"/>
        <v>37762.832195269075</v>
      </c>
      <c r="F84" s="11">
        <f t="shared" si="24"/>
        <v>25.951354960711182</v>
      </c>
      <c r="G84" s="11">
        <f t="shared" si="25"/>
        <v>21120</v>
      </c>
      <c r="H84" s="11">
        <f t="shared" si="26"/>
        <v>58882.832195269075</v>
      </c>
      <c r="I84" s="11">
        <f t="shared" si="28"/>
        <v>2231.5095413106901</v>
      </c>
      <c r="J84" s="11">
        <f t="shared" si="27"/>
        <v>2700</v>
      </c>
      <c r="K84" s="20">
        <f t="shared" si="29"/>
        <v>0</v>
      </c>
    </row>
    <row r="85" spans="1:11">
      <c r="A85" s="20">
        <v>25</v>
      </c>
      <c r="B85" s="16">
        <f t="shared" si="20"/>
        <v>1534.7170558625965</v>
      </c>
      <c r="C85" s="16">
        <f t="shared" si="21"/>
        <v>720</v>
      </c>
      <c r="D85" s="16">
        <f t="shared" si="22"/>
        <v>814.71705586259645</v>
      </c>
      <c r="E85" s="11">
        <f t="shared" si="23"/>
        <v>39144.393330947853</v>
      </c>
      <c r="F85" s="11">
        <f t="shared" si="24"/>
        <v>25.505934909250438</v>
      </c>
      <c r="G85" s="11">
        <f t="shared" si="25"/>
        <v>22000</v>
      </c>
      <c r="H85" s="11">
        <f t="shared" si="26"/>
        <v>61144.393330947853</v>
      </c>
      <c r="I85" s="11">
        <f t="shared" si="28"/>
        <v>2261.5611356787776</v>
      </c>
      <c r="J85" s="11">
        <f t="shared" si="27"/>
        <v>2700</v>
      </c>
      <c r="K85" s="20">
        <f t="shared" si="29"/>
        <v>0</v>
      </c>
    </row>
    <row r="86" spans="1:11">
      <c r="A86" s="20">
        <v>26</v>
      </c>
      <c r="B86" s="16">
        <f t="shared" si="20"/>
        <v>1616.0570598233144</v>
      </c>
      <c r="C86" s="16">
        <f t="shared" si="21"/>
        <v>720</v>
      </c>
      <c r="D86" s="16">
        <f t="shared" si="22"/>
        <v>896.05705982331438</v>
      </c>
      <c r="E86" s="11">
        <f t="shared" si="23"/>
        <v>40556.546177488097</v>
      </c>
      <c r="F86" s="11">
        <f t="shared" si="24"/>
        <v>25.095986512952827</v>
      </c>
      <c r="G86" s="11">
        <f t="shared" si="25"/>
        <v>22880</v>
      </c>
      <c r="H86" s="11">
        <f t="shared" si="26"/>
        <v>63436.546177488097</v>
      </c>
      <c r="I86" s="11">
        <f t="shared" si="28"/>
        <v>2292.1528465402444</v>
      </c>
      <c r="J86" s="11">
        <f t="shared" si="27"/>
        <v>2700</v>
      </c>
      <c r="K86" s="20">
        <f t="shared" si="29"/>
        <v>0</v>
      </c>
    </row>
    <row r="87" spans="1:11">
      <c r="A87" s="20">
        <v>27</v>
      </c>
      <c r="B87" s="16">
        <f t="shared" si="20"/>
        <v>1699.1907643430709</v>
      </c>
      <c r="C87" s="16">
        <f t="shared" si="21"/>
        <v>720</v>
      </c>
      <c r="D87" s="16">
        <f t="shared" si="22"/>
        <v>979.1907643430709</v>
      </c>
      <c r="E87" s="11">
        <f t="shared" si="23"/>
        <v>41999.839658733865</v>
      </c>
      <c r="F87" s="11">
        <f t="shared" si="24"/>
        <v>24.717554108747493</v>
      </c>
      <c r="G87" s="11">
        <f t="shared" si="25"/>
        <v>23760</v>
      </c>
      <c r="H87" s="11">
        <f t="shared" si="26"/>
        <v>65759.839658733865</v>
      </c>
      <c r="I87" s="11">
        <f t="shared" si="28"/>
        <v>2323.2934812457679</v>
      </c>
      <c r="J87" s="11">
        <f t="shared" si="27"/>
        <v>2700</v>
      </c>
      <c r="K87" s="20">
        <f t="shared" si="29"/>
        <v>0</v>
      </c>
    </row>
    <row r="88" spans="1:11">
      <c r="A88" s="20">
        <v>28</v>
      </c>
      <c r="B88" s="16">
        <f t="shared" si="20"/>
        <v>1784.1503025602246</v>
      </c>
      <c r="C88" s="16">
        <f t="shared" si="21"/>
        <v>720</v>
      </c>
      <c r="D88" s="16">
        <f t="shared" si="22"/>
        <v>1064.1503025602246</v>
      </c>
      <c r="E88" s="11">
        <f t="shared" si="23"/>
        <v>43474.831641670564</v>
      </c>
      <c r="F88" s="11">
        <f t="shared" si="24"/>
        <v>24.367247299336238</v>
      </c>
      <c r="G88" s="11">
        <f t="shared" si="25"/>
        <v>24640</v>
      </c>
      <c r="H88" s="11">
        <f t="shared" si="26"/>
        <v>68114.831641670564</v>
      </c>
      <c r="I88" s="11">
        <f t="shared" si="28"/>
        <v>2354.9919829366991</v>
      </c>
      <c r="J88" s="11">
        <f t="shared" si="27"/>
        <v>2700</v>
      </c>
      <c r="K88" s="20">
        <f t="shared" si="29"/>
        <v>0</v>
      </c>
    </row>
    <row r="89" spans="1:11">
      <c r="A89" s="20">
        <v>29</v>
      </c>
      <c r="B89" s="16">
        <f t="shared" si="20"/>
        <v>1870.9683306758782</v>
      </c>
      <c r="C89" s="16">
        <f t="shared" si="21"/>
        <v>720</v>
      </c>
      <c r="D89" s="16">
        <f t="shared" si="22"/>
        <v>1150.9683306758782</v>
      </c>
      <c r="E89" s="11">
        <f t="shared" si="23"/>
        <v>44982.089074233998</v>
      </c>
      <c r="F89" s="11">
        <f t="shared" si="24"/>
        <v>24.042143491538649</v>
      </c>
      <c r="G89" s="11">
        <f t="shared" si="25"/>
        <v>25520</v>
      </c>
      <c r="H89" s="11">
        <f t="shared" si="26"/>
        <v>70502.089074233998</v>
      </c>
      <c r="I89" s="11">
        <f t="shared" si="28"/>
        <v>2387.2574325634341</v>
      </c>
      <c r="J89" s="11">
        <f t="shared" si="27"/>
        <v>2700</v>
      </c>
      <c r="K89" s="20">
        <f t="shared" si="29"/>
        <v>0</v>
      </c>
    </row>
    <row r="90" spans="1:11">
      <c r="A90" s="20">
        <v>30</v>
      </c>
      <c r="B90" s="16">
        <f t="shared" si="20"/>
        <v>1959.6780360096488</v>
      </c>
      <c r="C90" s="16">
        <f t="shared" si="21"/>
        <v>720</v>
      </c>
      <c r="D90" s="16">
        <f t="shared" si="22"/>
        <v>1239.6780360096488</v>
      </c>
      <c r="E90" s="11">
        <f t="shared" si="23"/>
        <v>46522.188125167515</v>
      </c>
      <c r="F90" s="11">
        <f t="shared" si="24"/>
        <v>23.739709926992546</v>
      </c>
      <c r="G90" s="11">
        <f t="shared" si="25"/>
        <v>26400</v>
      </c>
      <c r="H90" s="11">
        <f t="shared" si="26"/>
        <v>72922.188125167508</v>
      </c>
      <c r="I90" s="11">
        <f t="shared" si="28"/>
        <v>2420.0990509335097</v>
      </c>
      <c r="J90" s="11">
        <f t="shared" si="27"/>
        <v>2700</v>
      </c>
      <c r="K90" s="20">
        <f t="shared" si="29"/>
        <v>0</v>
      </c>
    </row>
    <row r="92" spans="1:11">
      <c r="A92" s="3" t="s">
        <v>102</v>
      </c>
      <c r="B92" s="21">
        <f>IF(ISNA(MATCH(1,'Marginal Cost Schedules'!$K$61:$K$90,0)),MES_CAP,MATCH(1,'Marginal Cost Schedules'!$K$61:$K$90,0)-1)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tabSelected="1" topLeftCell="A8" zoomScale="74" zoomScaleNormal="100" workbookViewId="0">
      <selection activeCell="A29" sqref="A29"/>
    </sheetView>
  </sheetViews>
  <sheetFormatPr baseColWidth="10" defaultColWidth="8.5" defaultRowHeight="15"/>
  <cols>
    <col min="1" max="1" width="48" customWidth="1"/>
    <col min="2" max="4" width="16" customWidth="1"/>
  </cols>
  <sheetData>
    <row r="1" spans="1:3" ht="18">
      <c r="A1" s="1" t="s">
        <v>103</v>
      </c>
    </row>
    <row r="2" spans="1:3" ht="30">
      <c r="A2" s="18" t="s">
        <v>104</v>
      </c>
    </row>
    <row r="4" spans="1:3" ht="16">
      <c r="A4" s="9" t="s">
        <v>105</v>
      </c>
    </row>
    <row r="5" spans="1:3">
      <c r="A5" s="5" t="s">
        <v>106</v>
      </c>
      <c r="B5" s="16">
        <f>1*TOM_HRS*WEEKS*(1+TOM_DIM)^1</f>
        <v>99.000000000000014</v>
      </c>
    </row>
    <row r="6" spans="1:3">
      <c r="A6" s="5" t="s">
        <v>107</v>
      </c>
      <c r="B6" s="7">
        <v>99</v>
      </c>
    </row>
    <row r="7" spans="1:3">
      <c r="A7" s="3" t="s">
        <v>108</v>
      </c>
      <c r="B7" s="3" t="b">
        <f>B5=B6</f>
        <v>1</v>
      </c>
    </row>
    <row r="9" spans="1:3" ht="16">
      <c r="A9" s="9" t="s">
        <v>109</v>
      </c>
    </row>
    <row r="10" spans="1:3">
      <c r="A10" s="5" t="s">
        <v>110</v>
      </c>
      <c r="B10" s="11">
        <f>INDEX(MC_TOM,10)</f>
        <v>8248.586534375012</v>
      </c>
    </row>
    <row r="11" spans="1:3">
      <c r="A11" s="5" t="s">
        <v>111</v>
      </c>
      <c r="B11" s="22">
        <v>8249</v>
      </c>
    </row>
    <row r="12" spans="1:3">
      <c r="A12" s="5" t="s">
        <v>112</v>
      </c>
      <c r="B12" s="11">
        <f>ABS(B10-B11)</f>
        <v>0.41346562498802086</v>
      </c>
    </row>
    <row r="13" spans="1:3">
      <c r="A13" s="3" t="s">
        <v>113</v>
      </c>
      <c r="B13" s="3" t="b">
        <f>B12&lt;=1</f>
        <v>1</v>
      </c>
    </row>
    <row r="15" spans="1:3" ht="16">
      <c r="A15" s="9" t="s">
        <v>114</v>
      </c>
    </row>
    <row r="16" spans="1:3">
      <c r="B16" s="2" t="s">
        <v>115</v>
      </c>
      <c r="C16" s="2" t="s">
        <v>116</v>
      </c>
    </row>
    <row r="17" spans="1:4">
      <c r="A17" s="5" t="s">
        <v>117</v>
      </c>
      <c r="B17" s="10">
        <v>10</v>
      </c>
      <c r="C17" s="10">
        <v>10</v>
      </c>
    </row>
    <row r="18" spans="1:4">
      <c r="A18" s="5" t="s">
        <v>118</v>
      </c>
      <c r="B18" s="10">
        <v>20</v>
      </c>
      <c r="C18" s="10">
        <v>20</v>
      </c>
    </row>
    <row r="19" spans="1:4">
      <c r="A19" s="5" t="s">
        <v>119</v>
      </c>
      <c r="B19" s="10">
        <v>30</v>
      </c>
      <c r="C19" s="10">
        <v>30</v>
      </c>
    </row>
    <row r="20" spans="1:4">
      <c r="A20" s="5" t="s">
        <v>120</v>
      </c>
      <c r="B20" s="22">
        <v>42761.66</v>
      </c>
      <c r="C20" s="22">
        <v>42761.66</v>
      </c>
    </row>
    <row r="21" spans="1:4">
      <c r="A21" s="3" t="s">
        <v>121</v>
      </c>
      <c r="B21" s="3" t="b">
        <f>AND(B17=C17,B18=C18,B19=C19)</f>
        <v>1</v>
      </c>
    </row>
    <row r="22" spans="1:4">
      <c r="A22" s="3" t="s">
        <v>122</v>
      </c>
      <c r="B22" s="3" t="b">
        <f>ABS(B20-C20)&lt;=0.01</f>
        <v>1</v>
      </c>
    </row>
    <row r="24" spans="1:4" ht="16">
      <c r="A24" s="9" t="s">
        <v>123</v>
      </c>
    </row>
    <row r="25" spans="1:4">
      <c r="B25" s="2" t="s">
        <v>124</v>
      </c>
      <c r="C25" s="2" t="s">
        <v>125</v>
      </c>
      <c r="D25" s="2" t="s">
        <v>108</v>
      </c>
    </row>
    <row r="26" spans="1:4">
      <c r="A26" s="5" t="s">
        <v>126</v>
      </c>
      <c r="B26" s="20">
        <f>TOM_BEDS</f>
        <v>10</v>
      </c>
      <c r="C26" s="20">
        <v>10</v>
      </c>
      <c r="D26" s="3" t="b">
        <f>B26=C26</f>
        <v>1</v>
      </c>
    </row>
    <row r="27" spans="1:4">
      <c r="A27" s="5" t="s">
        <v>127</v>
      </c>
      <c r="B27" s="20">
        <f>CAR_BEDS</f>
        <v>20</v>
      </c>
      <c r="C27" s="20">
        <v>20</v>
      </c>
      <c r="D27" s="3" t="b">
        <f>B27=C27</f>
        <v>1</v>
      </c>
    </row>
    <row r="28" spans="1:4">
      <c r="A28" s="5" t="s">
        <v>128</v>
      </c>
      <c r="B28" s="20">
        <f>MES_BEDS</f>
        <v>30</v>
      </c>
      <c r="C28" s="20">
        <v>30</v>
      </c>
      <c r="D28" s="3" t="b">
        <f>B28=C28</f>
        <v>1</v>
      </c>
    </row>
    <row r="29" spans="1:4">
      <c r="A29" s="5" t="s">
        <v>129</v>
      </c>
      <c r="B29" s="11">
        <f>PROFIT</f>
        <v>42761.664682745002</v>
      </c>
      <c r="C29" s="11">
        <v>42761.66</v>
      </c>
      <c r="D29" s="3" t="b">
        <f>ABS(B29-C29)&lt;=0.01</f>
        <v>1</v>
      </c>
    </row>
    <row r="30" spans="1:4">
      <c r="A30" s="5" t="s">
        <v>130</v>
      </c>
      <c r="B30" s="20">
        <f>TOM_CROSSING</f>
        <v>10</v>
      </c>
      <c r="C30" s="5" t="s">
        <v>131</v>
      </c>
    </row>
    <row r="31" spans="1:4">
      <c r="A31" s="5" t="s">
        <v>132</v>
      </c>
      <c r="B31" s="20">
        <f>CAR_CROSSING</f>
        <v>10</v>
      </c>
      <c r="C31" s="5" t="s">
        <v>131</v>
      </c>
    </row>
    <row r="32" spans="1:4">
      <c r="A32" s="5" t="s">
        <v>133</v>
      </c>
      <c r="B32" s="20">
        <f>MES_CROSSING</f>
        <v>6</v>
      </c>
      <c r="C32" s="5" t="s">
        <v>134</v>
      </c>
    </row>
    <row r="34" spans="1:2" ht="16">
      <c r="A34" s="9" t="s">
        <v>135</v>
      </c>
    </row>
    <row r="35" spans="1:2">
      <c r="A35" s="5" t="s">
        <v>136</v>
      </c>
    </row>
    <row r="37" spans="1:2" ht="16">
      <c r="A37" s="9" t="s">
        <v>137</v>
      </c>
    </row>
    <row r="38" spans="1:2">
      <c r="A38" s="5" t="s">
        <v>138</v>
      </c>
    </row>
    <row r="40" spans="1:2" ht="16">
      <c r="A40" s="9" t="s">
        <v>139</v>
      </c>
    </row>
    <row r="41" spans="1:2">
      <c r="A41" s="2" t="s">
        <v>140</v>
      </c>
      <c r="B41" s="2" t="s">
        <v>108</v>
      </c>
    </row>
    <row r="42" spans="1:2">
      <c r="A42" s="5" t="s">
        <v>141</v>
      </c>
      <c r="B42" s="3" t="b">
        <f>TOM_BEDS&lt;=TOM_CAP</f>
        <v>1</v>
      </c>
    </row>
    <row r="43" spans="1:2">
      <c r="A43" s="5" t="s">
        <v>142</v>
      </c>
      <c r="B43" s="3" t="b">
        <f>CAR_BEDS&lt;=CAR_CAP</f>
        <v>1</v>
      </c>
    </row>
    <row r="44" spans="1:2">
      <c r="A44" s="5" t="s">
        <v>143</v>
      </c>
      <c r="B44" s="3" t="b">
        <f>MES_BEDS&lt;=MES_CAP</f>
        <v>1</v>
      </c>
    </row>
    <row r="45" spans="1:2">
      <c r="A45" s="5" t="s">
        <v>144</v>
      </c>
      <c r="B45" s="3" t="b">
        <f>(TOM_BEDS+CAR_BEDS+MES_BEDS)&lt;=TOTAL_BEDS</f>
        <v>1</v>
      </c>
    </row>
    <row r="46" spans="1:2">
      <c r="A46" s="5" t="s">
        <v>145</v>
      </c>
      <c r="B46" s="3" t="b">
        <f>TEMP_HRS_USED&lt;=(MAX_WORKERS*WORKER_HRS)</f>
        <v>1</v>
      </c>
    </row>
    <row r="47" spans="1:2">
      <c r="A47" s="5" t="s">
        <v>146</v>
      </c>
      <c r="B47" s="3" t="b">
        <f>TOM_BEDS&gt;=0</f>
        <v>1</v>
      </c>
    </row>
    <row r="48" spans="1:2">
      <c r="A48" s="5" t="s">
        <v>147</v>
      </c>
      <c r="B48" s="3" t="b">
        <f>CAR_BEDS&gt;=0</f>
        <v>1</v>
      </c>
    </row>
    <row r="49" spans="1:2">
      <c r="A49" s="5" t="s">
        <v>148</v>
      </c>
      <c r="B49" s="3" t="b">
        <f>MES_BEDS&gt;=0</f>
        <v>1</v>
      </c>
    </row>
    <row r="50" spans="1:2">
      <c r="A50" s="5" t="s">
        <v>149</v>
      </c>
      <c r="B50" s="3" t="b">
        <f>TOM_BEDS=ROUND(TOM_BEDS,0)</f>
        <v>1</v>
      </c>
    </row>
    <row r="51" spans="1:2">
      <c r="A51" s="5" t="s">
        <v>150</v>
      </c>
      <c r="B51" s="3" t="b">
        <f>CAR_BEDS=ROUND(CAR_BEDS,0)</f>
        <v>1</v>
      </c>
    </row>
    <row r="52" spans="1:2">
      <c r="A52" s="5" t="s">
        <v>151</v>
      </c>
      <c r="B52" s="3" t="b">
        <f>MES_BEDS=ROUND(MES_BEDS,0)</f>
        <v>1</v>
      </c>
    </row>
  </sheetData>
  <conditionalFormatting sqref="B7">
    <cfRule type="cellIs" dxfId="9" priority="2" operator="equal">
      <formula>1</formula>
    </cfRule>
    <cfRule type="cellIs" dxfId="8" priority="3" operator="equal">
      <formula>0</formula>
    </cfRule>
  </conditionalFormatting>
  <conditionalFormatting sqref="B13">
    <cfRule type="cellIs" dxfId="7" priority="4" operator="equal">
      <formula>1</formula>
    </cfRule>
    <cfRule type="cellIs" dxfId="6" priority="5" operator="equal">
      <formula>0</formula>
    </cfRule>
  </conditionalFormatting>
  <conditionalFormatting sqref="B21:B22">
    <cfRule type="cellIs" dxfId="5" priority="6" operator="equal">
      <formula>1</formula>
    </cfRule>
    <cfRule type="cellIs" dxfId="4" priority="7" operator="equal">
      <formula>0</formula>
    </cfRule>
  </conditionalFormatting>
  <conditionalFormatting sqref="B42:B52">
    <cfRule type="cellIs" dxfId="3" priority="10" operator="equal">
      <formula>1</formula>
    </cfRule>
    <cfRule type="cellIs" dxfId="2" priority="11" operator="equal">
      <formula>0</formula>
    </cfRule>
  </conditionalFormatting>
  <conditionalFormatting sqref="D26:D29">
    <cfRule type="cellIs" dxfId="1" priority="8" operator="equal">
      <formula>1</formula>
    </cfRule>
    <cfRule type="cellIs" dxfId="0" priority="9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54</vt:i4>
      </vt:variant>
    </vt:vector>
  </HeadingPairs>
  <TitlesOfParts>
    <vt:vector size="59" baseType="lpstr">
      <vt:lpstr>Inputs</vt:lpstr>
      <vt:lpstr>Optimization</vt:lpstr>
      <vt:lpstr>Cost Structure</vt:lpstr>
      <vt:lpstr>Marginal Cost Schedules</vt:lpstr>
      <vt:lpstr>Checks</vt:lpstr>
      <vt:lpstr>BLENDED_RATE</vt:lpstr>
      <vt:lpstr>CAR_BEDS</vt:lpstr>
      <vt:lpstr>CAR_CAP</vt:lpstr>
      <vt:lpstr>CAR_CROSSING</vt:lpstr>
      <vt:lpstr>CAR_DIM</vt:lpstr>
      <vt:lpstr>CAR_FERT</vt:lpstr>
      <vt:lpstr>CAR_HRS</vt:lpstr>
      <vt:lpstr>CAR_PRICE</vt:lpstr>
      <vt:lpstr>FARMER_HRS_USED</vt:lpstr>
      <vt:lpstr>FERT_COST_CAR</vt:lpstr>
      <vt:lpstr>FERT_COST_MES</vt:lpstr>
      <vt:lpstr>FERT_COST_TOM</vt:lpstr>
      <vt:lpstr>FIXED_COST</vt:lpstr>
      <vt:lpstr>LABOR_COST_CAR</vt:lpstr>
      <vt:lpstr>LABOR_COST_MES</vt:lpstr>
      <vt:lpstr>LABOR_COST_TOM</vt:lpstr>
      <vt:lpstr>LABOR_HRS_CAR</vt:lpstr>
      <vt:lpstr>LABOR_HRS_MES</vt:lpstr>
      <vt:lpstr>LABOR_HRS_TOM</vt:lpstr>
      <vt:lpstr>MAX_WORKERS</vt:lpstr>
      <vt:lpstr>MC_CAR</vt:lpstr>
      <vt:lpstr>MC_MES</vt:lpstr>
      <vt:lpstr>MC_TOM</vt:lpstr>
      <vt:lpstr>MES_BEDS</vt:lpstr>
      <vt:lpstr>MES_CAP</vt:lpstr>
      <vt:lpstr>MES_CROSSING</vt:lpstr>
      <vt:lpstr>MES_DIM</vt:lpstr>
      <vt:lpstr>MES_FERT</vt:lpstr>
      <vt:lpstr>MES_HRS</vt:lpstr>
      <vt:lpstr>MES_PRICE</vt:lpstr>
      <vt:lpstr>OWN_HRS</vt:lpstr>
      <vt:lpstr>OWN_RATE</vt:lpstr>
      <vt:lpstr>PROFIT</vt:lpstr>
      <vt:lpstr>REVENUE_CAR</vt:lpstr>
      <vt:lpstr>REVENUE_MES</vt:lpstr>
      <vt:lpstr>REVENUE_TOM</vt:lpstr>
      <vt:lpstr>TEMP_HRS_USED</vt:lpstr>
      <vt:lpstr>TOM_BEDS</vt:lpstr>
      <vt:lpstr>TOM_CAP</vt:lpstr>
      <vt:lpstr>TOM_CROSSING</vt:lpstr>
      <vt:lpstr>TOM_DIM</vt:lpstr>
      <vt:lpstr>TOM_FERT</vt:lpstr>
      <vt:lpstr>TOM_HRS</vt:lpstr>
      <vt:lpstr>TOM_PRICE</vt:lpstr>
      <vt:lpstr>TOTAL_BEDS</vt:lpstr>
      <vt:lpstr>TOTAL_COST</vt:lpstr>
      <vt:lpstr>TOTAL_FERT_COST</vt:lpstr>
      <vt:lpstr>TOTAL_HRS</vt:lpstr>
      <vt:lpstr>TOTAL_LABOR_DOLLARS</vt:lpstr>
      <vt:lpstr>TOTAL_REVENUE</vt:lpstr>
      <vt:lpstr>TOTAL_VARIABLE_COST</vt:lpstr>
      <vt:lpstr>WEEKS</vt:lpstr>
      <vt:lpstr>WORKER_HRS</vt:lpstr>
      <vt:lpstr>WORKER_RATE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Corazon Montero</cp:lastModifiedBy>
  <cp:revision>0</cp:revision>
  <dcterms:created xsi:type="dcterms:W3CDTF">2026-09-15T03:52:24Z</dcterms:created>
  <dcterms:modified xsi:type="dcterms:W3CDTF">2026-09-30T09:15:08Z</dcterms:modified>
  <dc:language>en-US</dc:language>
</cp:coreProperties>
</file>